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الهادجية\redline\الرياض\حى الرمال\97\المستقبل\"/>
    </mc:Choice>
  </mc:AlternateContent>
  <xr:revisionPtr revIDLastSave="0" documentId="13_ncr:1_{6D285156-E87D-4D1A-B7EA-A70129D063E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ML-97" sheetId="1" r:id="rId1"/>
    <sheet name="Sheet1" sheetId="2" r:id="rId2"/>
  </sheets>
  <definedNames>
    <definedName name="_xlnm._FilterDatabase" localSheetId="0" hidden="1">'REML-97'!$B$3:$G$3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2" l="1"/>
  <c r="D49" i="2"/>
  <c r="D48" i="2"/>
  <c r="D47" i="2"/>
  <c r="D46" i="2"/>
  <c r="D45" i="2"/>
  <c r="D44" i="2"/>
  <c r="D43" i="2"/>
  <c r="D42" i="2"/>
  <c r="D41" i="2"/>
  <c r="D40" i="2"/>
  <c r="D39" i="2"/>
  <c r="D38" i="2"/>
  <c r="J33" i="2"/>
  <c r="J30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D22" i="2"/>
  <c r="C22" i="2"/>
  <c r="B22" i="2"/>
  <c r="A22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G5" i="1"/>
  <c r="G7" i="1"/>
  <c r="G8" i="1"/>
  <c r="G9" i="1"/>
  <c r="G4" i="1"/>
  <c r="G11" i="1"/>
  <c r="G6" i="1"/>
  <c r="G10" i="1"/>
  <c r="G12" i="1"/>
  <c r="G13" i="1"/>
  <c r="G14" i="1"/>
  <c r="G15" i="1"/>
  <c r="G16" i="1"/>
  <c r="G17" i="1"/>
  <c r="G18" i="1"/>
  <c r="G19" i="1"/>
  <c r="G20" i="1"/>
  <c r="G21" i="1"/>
  <c r="G22" i="1"/>
  <c r="D24" i="1"/>
  <c r="C26" i="1" s="1"/>
  <c r="E24" i="1"/>
  <c r="S34" i="1"/>
  <c r="G25" i="1"/>
  <c r="B24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U34" i="1"/>
  <c r="Z44" i="1"/>
  <c r="X41" i="1"/>
  <c r="V34" i="1"/>
  <c r="T34" i="1"/>
  <c r="R34" i="1"/>
  <c r="Q34" i="1"/>
  <c r="P34" i="1"/>
  <c r="O34" i="1"/>
  <c r="N34" i="1"/>
  <c r="M34" i="1"/>
  <c r="L34" i="1"/>
  <c r="K34" i="1"/>
  <c r="J34" i="1"/>
  <c r="I34" i="1"/>
  <c r="C24" i="1"/>
  <c r="K29" i="2" l="1"/>
  <c r="M31" i="2" s="1"/>
  <c r="E22" i="2"/>
  <c r="D24" i="2" s="1"/>
  <c r="K42" i="1"/>
  <c r="G24" i="1"/>
  <c r="C27" i="1" s="1"/>
  <c r="AA43" i="1"/>
  <c r="AC45" i="1" s="1"/>
  <c r="AC50" i="1" s="1"/>
  <c r="C36" i="1" l="1"/>
  <c r="C35" i="1" s="1"/>
</calcChain>
</file>

<file path=xl/sharedStrings.xml><?xml version="1.0" encoding="utf-8"?>
<sst xmlns="http://schemas.openxmlformats.org/spreadsheetml/2006/main" count="123" uniqueCount="74">
  <si>
    <t>From</t>
  </si>
  <si>
    <t>To</t>
  </si>
  <si>
    <t>Big Trench</t>
  </si>
  <si>
    <t>Total</t>
  </si>
  <si>
    <t>4 Way =</t>
  </si>
  <si>
    <t>Sum =</t>
  </si>
  <si>
    <t>Small Trench</t>
  </si>
  <si>
    <t>Asphalt =</t>
  </si>
  <si>
    <t>Civil =</t>
  </si>
  <si>
    <t>Excavation</t>
  </si>
  <si>
    <t xml:space="preserve"> </t>
  </si>
  <si>
    <t>2 WAY</t>
  </si>
  <si>
    <t>NO Asphalt</t>
  </si>
  <si>
    <t>4WAY</t>
  </si>
  <si>
    <t xml:space="preserve">عدد اللفات </t>
  </si>
  <si>
    <t>عدد الدخلات</t>
  </si>
  <si>
    <t>2WAY</t>
  </si>
  <si>
    <t>عدد الدخلات+الداكت</t>
  </si>
  <si>
    <t xml:space="preserve">NEW ManHole = </t>
  </si>
  <si>
    <t>عدد اللفات</t>
  </si>
  <si>
    <t xml:space="preserve">NEW HandHole =   </t>
  </si>
  <si>
    <t>HH-6711</t>
  </si>
  <si>
    <t>MH-9709</t>
  </si>
  <si>
    <t>HH-9701</t>
  </si>
  <si>
    <t>HH-9702</t>
  </si>
  <si>
    <t>HH-9703</t>
  </si>
  <si>
    <t>HH-9704</t>
  </si>
  <si>
    <t>HH-9708</t>
  </si>
  <si>
    <t>HH-9707</t>
  </si>
  <si>
    <t>HH-9705</t>
  </si>
  <si>
    <t>HH-9716</t>
  </si>
  <si>
    <t>H9704</t>
  </si>
  <si>
    <t>HH-9717</t>
  </si>
  <si>
    <t>CVL-LLD-RIY-9046-REML-97</t>
  </si>
  <si>
    <t>FIBER 12</t>
  </si>
  <si>
    <t>LOOP</t>
  </si>
  <si>
    <t>ALL</t>
  </si>
  <si>
    <t>JCL (144 , 24 FAT Closure )</t>
  </si>
  <si>
    <t>FAT(24 NETWORK)</t>
  </si>
  <si>
    <t>NOM ODB</t>
  </si>
  <si>
    <t>ODB 04</t>
  </si>
  <si>
    <t>ODB 12</t>
  </si>
  <si>
    <t>ODB 20</t>
  </si>
  <si>
    <t>ODB 36</t>
  </si>
  <si>
    <t>FIBER 144</t>
  </si>
  <si>
    <t>NOM : ODB</t>
  </si>
  <si>
    <t xml:space="preserve">Description </t>
  </si>
  <si>
    <t>Contractor</t>
  </si>
  <si>
    <t>HAJ</t>
  </si>
  <si>
    <t>الفرق</t>
  </si>
  <si>
    <t>UG</t>
  </si>
  <si>
    <t>12 Fiber</t>
  </si>
  <si>
    <t>144 Fiber</t>
  </si>
  <si>
    <t>288 Fiber</t>
  </si>
  <si>
    <t>ODB4 ports with splitter 1:4</t>
  </si>
  <si>
    <t>ODB 12 ports with 2x1:4 Splitter</t>
  </si>
  <si>
    <t>ODB20 ports with splitter 1:16</t>
  </si>
  <si>
    <t>ODB36 ports with splitter 2x1:16</t>
  </si>
  <si>
    <t>Splitter 2:16 in FAT</t>
  </si>
  <si>
    <t>Splitter 2:4 in FAT</t>
  </si>
  <si>
    <t xml:space="preserve">24 FAT closure </t>
  </si>
  <si>
    <t>288F feeder closure</t>
  </si>
  <si>
    <t>ODF 144f</t>
  </si>
  <si>
    <t>REML-97</t>
  </si>
  <si>
    <t>FAT-9709</t>
  </si>
  <si>
    <t>FAT-9701</t>
  </si>
  <si>
    <t>FAT-9702</t>
  </si>
  <si>
    <t>FAT-9703</t>
  </si>
  <si>
    <t>FAT-9704</t>
  </si>
  <si>
    <t>FAT-9705</t>
  </si>
  <si>
    <t>FAT-9716</t>
  </si>
  <si>
    <t>FAT-9708</t>
  </si>
  <si>
    <t>FAT-9707</t>
  </si>
  <si>
    <t>23..1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</si>
</sst>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1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" fontId="1" fillId="3" borderId="2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8" fillId="2" borderId="25" xfId="1" applyFont="1" applyFill="1" applyBorder="1" applyAlignment="1">
      <alignment horizontal="center"/>
    </xf>
    <xf numFmtId="0" fontId="8" fillId="2" borderId="24" xfId="1" applyFont="1" applyFill="1" applyBorder="1" applyAlignment="1">
      <alignment horizontal="center"/>
    </xf>
    <xf numFmtId="0" fontId="8" fillId="4" borderId="2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0" borderId="17" xfId="1" applyBorder="1" applyAlignment="1">
      <alignment horizontal="left"/>
    </xf>
    <xf numFmtId="0" fontId="7" fillId="0" borderId="19" xfId="1" applyBorder="1" applyAlignment="1">
      <alignment horizontal="left"/>
    </xf>
    <xf numFmtId="0" fontId="0" fillId="4" borderId="23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top"/>
    </xf>
    <xf numFmtId="0" fontId="1" fillId="2" borderId="24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7929664-E411-441C-8236-322E072263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1"/>
  <sheetViews>
    <sheetView topLeftCell="H1" zoomScale="85" zoomScaleNormal="85" workbookViewId="0">
      <selection activeCell="P3" sqref="I3:P3"/>
    </sheetView>
  </sheetViews>
  <sheetFormatPr defaultColWidth="8.875" defaultRowHeight="15" x14ac:dyDescent="0.2"/>
  <cols>
    <col min="1" max="1" width="7.125" style="2" customWidth="1"/>
    <col min="2" max="2" width="17.5" style="2" customWidth="1"/>
    <col min="3" max="3" width="18.25" style="2" customWidth="1"/>
    <col min="4" max="4" width="16.875" style="2" bestFit="1" customWidth="1"/>
    <col min="5" max="6" width="13.25" style="2" customWidth="1"/>
    <col min="7" max="7" width="10.375" style="2" customWidth="1"/>
    <col min="8" max="8" width="8.875" style="2"/>
    <col min="9" max="16" width="9.375" style="2" bestFit="1" customWidth="1"/>
    <col min="17" max="19" width="9.375" style="2" customWidth="1"/>
    <col min="20" max="22" width="8.875" style="2"/>
    <col min="23" max="23" width="8.875" style="2" customWidth="1"/>
    <col min="24" max="16384" width="8.875" style="2"/>
  </cols>
  <sheetData>
    <row r="1" spans="2:36" ht="15.75" thickBot="1" x14ac:dyDescent="0.25"/>
    <row r="2" spans="2:36" ht="15.75" thickBot="1" x14ac:dyDescent="0.25">
      <c r="B2" s="91" t="s">
        <v>2</v>
      </c>
      <c r="C2" s="92"/>
      <c r="D2" s="92"/>
      <c r="E2" s="92"/>
      <c r="F2" s="92"/>
      <c r="G2" s="93"/>
      <c r="I2" s="98" t="s">
        <v>6</v>
      </c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100"/>
      <c r="X2" s="87" t="s">
        <v>11</v>
      </c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88"/>
    </row>
    <row r="3" spans="2:36" ht="15.75" thickBot="1" x14ac:dyDescent="0.25">
      <c r="B3" s="5" t="s">
        <v>0</v>
      </c>
      <c r="C3" s="5" t="s">
        <v>1</v>
      </c>
      <c r="D3" s="5" t="s">
        <v>9</v>
      </c>
      <c r="E3" s="5" t="s">
        <v>3</v>
      </c>
      <c r="F3" s="5"/>
      <c r="G3" s="5" t="s">
        <v>13</v>
      </c>
      <c r="I3" s="20" t="s">
        <v>22</v>
      </c>
      <c r="J3" s="21" t="s">
        <v>23</v>
      </c>
      <c r="K3" s="21" t="s">
        <v>24</v>
      </c>
      <c r="L3" s="21" t="s">
        <v>25</v>
      </c>
      <c r="M3" s="21" t="s">
        <v>31</v>
      </c>
      <c r="N3" s="21" t="s">
        <v>27</v>
      </c>
      <c r="O3" s="21" t="s">
        <v>28</v>
      </c>
      <c r="P3" s="21" t="s">
        <v>29</v>
      </c>
      <c r="Q3" s="21"/>
      <c r="R3" s="21"/>
      <c r="S3" s="21"/>
      <c r="T3" s="21"/>
      <c r="U3" s="21"/>
      <c r="V3" s="22"/>
      <c r="X3" s="20" t="s">
        <v>22</v>
      </c>
      <c r="Y3" s="21" t="s">
        <v>23</v>
      </c>
      <c r="Z3" s="21" t="s">
        <v>24</v>
      </c>
      <c r="AA3" s="21" t="s">
        <v>25</v>
      </c>
      <c r="AB3" s="21" t="s">
        <v>31</v>
      </c>
      <c r="AC3" s="21" t="s">
        <v>27</v>
      </c>
      <c r="AD3" s="21" t="s">
        <v>28</v>
      </c>
      <c r="AE3" s="21" t="s">
        <v>29</v>
      </c>
      <c r="AF3" s="21"/>
      <c r="AG3" s="21"/>
      <c r="AH3" s="21"/>
      <c r="AI3" s="21"/>
      <c r="AJ3" s="22"/>
    </row>
    <row r="4" spans="2:36" x14ac:dyDescent="0.2">
      <c r="B4" s="15" t="s">
        <v>22</v>
      </c>
      <c r="C4" s="16" t="s">
        <v>26</v>
      </c>
      <c r="D4" s="13">
        <v>252.5</v>
      </c>
      <c r="E4" s="8">
        <v>284.39999999999998</v>
      </c>
      <c r="F4" s="13">
        <v>2</v>
      </c>
      <c r="G4" s="17">
        <f t="shared" ref="G4:G22" si="0">F4*E4</f>
        <v>568.79999999999995</v>
      </c>
      <c r="H4" s="2">
        <v>2</v>
      </c>
      <c r="I4" s="28">
        <v>8</v>
      </c>
      <c r="J4" s="13">
        <v>15</v>
      </c>
      <c r="K4" s="13">
        <v>14.8</v>
      </c>
      <c r="L4" s="13">
        <v>2</v>
      </c>
      <c r="M4" s="13">
        <v>17</v>
      </c>
      <c r="N4" s="13">
        <v>27.5</v>
      </c>
      <c r="O4" s="13">
        <v>35</v>
      </c>
      <c r="P4" s="13">
        <v>37.4</v>
      </c>
      <c r="Q4" s="13"/>
      <c r="R4" s="13"/>
      <c r="S4" s="13"/>
      <c r="T4" s="13"/>
      <c r="U4" s="13"/>
      <c r="V4" s="17"/>
      <c r="X4" s="29">
        <v>149.6</v>
      </c>
      <c r="Y4" s="8">
        <v>147</v>
      </c>
      <c r="Z4" s="8">
        <v>189.1</v>
      </c>
      <c r="AA4" s="8">
        <v>656.5</v>
      </c>
      <c r="AB4" s="8">
        <v>218.5</v>
      </c>
      <c r="AC4" s="8">
        <v>122.7</v>
      </c>
      <c r="AD4" s="8">
        <v>78.8</v>
      </c>
      <c r="AE4" s="8">
        <v>243.9</v>
      </c>
      <c r="AF4" s="8"/>
      <c r="AG4" s="8"/>
      <c r="AH4" s="8"/>
      <c r="AI4" s="8"/>
      <c r="AJ4" s="18"/>
    </row>
    <row r="5" spans="2:36" x14ac:dyDescent="0.2">
      <c r="B5" s="14" t="s">
        <v>21</v>
      </c>
      <c r="C5" s="6" t="s">
        <v>22</v>
      </c>
      <c r="D5" s="8">
        <v>257.8</v>
      </c>
      <c r="E5" s="8">
        <v>257.8</v>
      </c>
      <c r="F5" s="8">
        <v>4</v>
      </c>
      <c r="G5" s="18">
        <f t="shared" si="0"/>
        <v>1031.2</v>
      </c>
      <c r="H5" s="2">
        <v>4</v>
      </c>
      <c r="I5" s="29">
        <v>7.6</v>
      </c>
      <c r="J5" s="8">
        <v>6.5</v>
      </c>
      <c r="K5" s="8">
        <v>4.5999999999999996</v>
      </c>
      <c r="L5" s="8">
        <v>10</v>
      </c>
      <c r="M5" s="8">
        <v>31.5</v>
      </c>
      <c r="N5" s="8">
        <v>12.7</v>
      </c>
      <c r="O5" s="8">
        <v>14.6</v>
      </c>
      <c r="P5" s="8">
        <v>35.700000000000003</v>
      </c>
      <c r="Q5" s="8"/>
      <c r="R5" s="8"/>
      <c r="S5" s="8"/>
      <c r="T5" s="8"/>
      <c r="U5" s="8"/>
      <c r="V5" s="18"/>
      <c r="X5" s="29">
        <v>139.4</v>
      </c>
      <c r="Y5" s="8">
        <v>132</v>
      </c>
      <c r="Z5" s="8">
        <v>173.9</v>
      </c>
      <c r="AA5" s="8">
        <v>133.30000000000001</v>
      </c>
      <c r="AB5" s="8">
        <v>198.1</v>
      </c>
      <c r="AC5" s="8">
        <v>109.2</v>
      </c>
      <c r="AD5" s="8">
        <v>68.400000000000006</v>
      </c>
      <c r="AE5" s="8">
        <v>206.9</v>
      </c>
      <c r="AF5" s="8"/>
      <c r="AG5" s="8"/>
      <c r="AH5" s="8"/>
      <c r="AI5" s="8"/>
      <c r="AJ5" s="18"/>
    </row>
    <row r="6" spans="2:36" x14ac:dyDescent="0.2">
      <c r="B6" s="14" t="s">
        <v>27</v>
      </c>
      <c r="C6" s="6" t="s">
        <v>28</v>
      </c>
      <c r="D6" s="8">
        <v>76.7</v>
      </c>
      <c r="E6" s="37">
        <v>76.7</v>
      </c>
      <c r="F6" s="8">
        <v>2</v>
      </c>
      <c r="G6" s="18">
        <f t="shared" si="0"/>
        <v>153.4</v>
      </c>
      <c r="H6" s="2">
        <v>2</v>
      </c>
      <c r="I6" s="29">
        <v>12.6</v>
      </c>
      <c r="J6" s="8">
        <v>8.5</v>
      </c>
      <c r="K6" s="8">
        <v>15.6</v>
      </c>
      <c r="L6" s="8">
        <v>11</v>
      </c>
      <c r="M6" s="8">
        <v>26.6</v>
      </c>
      <c r="N6" s="8">
        <v>7.1</v>
      </c>
      <c r="O6" s="8">
        <v>10.4</v>
      </c>
      <c r="P6" s="8">
        <v>30.1</v>
      </c>
      <c r="Q6" s="8"/>
      <c r="R6" s="8"/>
      <c r="S6" s="8"/>
      <c r="T6" s="8"/>
      <c r="U6" s="8"/>
      <c r="V6" s="18"/>
      <c r="X6" s="29">
        <v>131.80000000000001</v>
      </c>
      <c r="Y6" s="8">
        <v>125.5</v>
      </c>
      <c r="Z6" s="8">
        <v>169.3</v>
      </c>
      <c r="AA6" s="8">
        <v>123.3</v>
      </c>
      <c r="AB6" s="8">
        <v>165.6</v>
      </c>
      <c r="AC6" s="8">
        <v>100.9</v>
      </c>
      <c r="AD6" s="8">
        <v>69.099999999999994</v>
      </c>
      <c r="AE6" s="8">
        <v>172.7</v>
      </c>
      <c r="AF6" s="8"/>
      <c r="AG6" s="8"/>
      <c r="AH6" s="8"/>
      <c r="AI6" s="8"/>
      <c r="AJ6" s="18"/>
    </row>
    <row r="7" spans="2:36" x14ac:dyDescent="0.2">
      <c r="B7" s="14" t="s">
        <v>22</v>
      </c>
      <c r="C7" s="6" t="s">
        <v>23</v>
      </c>
      <c r="D7" s="8">
        <v>72.900000000000006</v>
      </c>
      <c r="E7" s="37">
        <v>72.900000000000006</v>
      </c>
      <c r="F7" s="8">
        <v>2</v>
      </c>
      <c r="G7" s="18">
        <f t="shared" si="0"/>
        <v>145.80000000000001</v>
      </c>
      <c r="H7" s="2">
        <v>2</v>
      </c>
      <c r="I7" s="29">
        <v>9.4</v>
      </c>
      <c r="J7" s="8">
        <v>7.1</v>
      </c>
      <c r="K7" s="8">
        <v>19.600000000000001</v>
      </c>
      <c r="L7" s="8">
        <v>10.3</v>
      </c>
      <c r="M7" s="8">
        <v>30.1</v>
      </c>
      <c r="N7" s="8">
        <v>13.8</v>
      </c>
      <c r="O7" s="8">
        <v>7</v>
      </c>
      <c r="P7" s="8">
        <v>34.299999999999997</v>
      </c>
      <c r="Q7" s="8"/>
      <c r="R7" s="8"/>
      <c r="S7" s="8"/>
      <c r="T7" s="8"/>
      <c r="U7" s="8"/>
      <c r="V7" s="18"/>
      <c r="X7" s="29">
        <v>123.8</v>
      </c>
      <c r="Y7" s="8">
        <v>117</v>
      </c>
      <c r="Z7" s="8">
        <v>153.69999999999999</v>
      </c>
      <c r="AA7" s="8">
        <v>112.3</v>
      </c>
      <c r="AB7" s="8">
        <v>139</v>
      </c>
      <c r="AC7" s="8">
        <v>89.2</v>
      </c>
      <c r="AD7" s="8">
        <v>23.1</v>
      </c>
      <c r="AE7" s="8">
        <v>142.6</v>
      </c>
      <c r="AF7" s="8"/>
      <c r="AG7" s="8"/>
      <c r="AH7" s="8"/>
      <c r="AI7" s="8"/>
      <c r="AJ7" s="18"/>
    </row>
    <row r="8" spans="2:36" x14ac:dyDescent="0.2">
      <c r="B8" s="14" t="s">
        <v>23</v>
      </c>
      <c r="C8" s="6" t="s">
        <v>24</v>
      </c>
      <c r="D8" s="8">
        <v>70.599999999999994</v>
      </c>
      <c r="E8" s="37">
        <v>70.599999999999994</v>
      </c>
      <c r="F8" s="8">
        <v>2</v>
      </c>
      <c r="G8" s="18">
        <f t="shared" si="0"/>
        <v>141.19999999999999</v>
      </c>
      <c r="I8" s="29">
        <v>8.9</v>
      </c>
      <c r="J8" s="8">
        <v>13.4</v>
      </c>
      <c r="K8" s="8">
        <v>4.8</v>
      </c>
      <c r="L8" s="8">
        <v>11</v>
      </c>
      <c r="M8" s="8">
        <v>15.6</v>
      </c>
      <c r="N8" s="8">
        <v>6.8</v>
      </c>
      <c r="O8" s="8">
        <v>10.6</v>
      </c>
      <c r="P8" s="8">
        <v>36.299999999999997</v>
      </c>
      <c r="Q8" s="8"/>
      <c r="R8" s="8"/>
      <c r="S8" s="8"/>
      <c r="T8" s="8"/>
      <c r="U8" s="8"/>
      <c r="V8" s="18"/>
      <c r="X8" s="29">
        <v>114</v>
      </c>
      <c r="Y8" s="8">
        <v>109.9</v>
      </c>
      <c r="Z8" s="8">
        <v>134.1</v>
      </c>
      <c r="AA8" s="8">
        <v>102</v>
      </c>
      <c r="AB8" s="8">
        <v>108.9</v>
      </c>
      <c r="AC8" s="8">
        <v>83.3</v>
      </c>
      <c r="AD8" s="8">
        <v>12.6</v>
      </c>
      <c r="AE8" s="8">
        <v>103.8</v>
      </c>
      <c r="AF8" s="8"/>
      <c r="AG8" s="8"/>
      <c r="AH8" s="8"/>
      <c r="AI8" s="8"/>
      <c r="AJ8" s="18"/>
    </row>
    <row r="9" spans="2:36" x14ac:dyDescent="0.2">
      <c r="B9" s="14" t="s">
        <v>24</v>
      </c>
      <c r="C9" s="6" t="s">
        <v>25</v>
      </c>
      <c r="D9" s="8">
        <v>70.400000000000006</v>
      </c>
      <c r="E9" s="37">
        <v>70.400000000000006</v>
      </c>
      <c r="F9" s="8">
        <v>2</v>
      </c>
      <c r="G9" s="18">
        <f t="shared" si="0"/>
        <v>140.80000000000001</v>
      </c>
      <c r="I9" s="29">
        <v>8.6</v>
      </c>
      <c r="J9" s="8">
        <v>6.9</v>
      </c>
      <c r="K9" s="8">
        <v>15.7</v>
      </c>
      <c r="L9" s="8">
        <v>9.5</v>
      </c>
      <c r="M9" s="8">
        <v>39.1</v>
      </c>
      <c r="N9" s="8">
        <v>13.5</v>
      </c>
      <c r="O9" s="8">
        <v>10.4</v>
      </c>
      <c r="P9" s="8">
        <v>20</v>
      </c>
      <c r="Q9" s="8"/>
      <c r="R9" s="8"/>
      <c r="S9" s="8"/>
      <c r="T9" s="8"/>
      <c r="U9" s="8"/>
      <c r="V9" s="18"/>
      <c r="X9" s="29">
        <v>100.5</v>
      </c>
      <c r="Y9" s="8">
        <v>96.5</v>
      </c>
      <c r="Z9" s="8">
        <v>129.30000000000001</v>
      </c>
      <c r="AA9" s="8">
        <v>91</v>
      </c>
      <c r="AB9" s="8">
        <v>96.3</v>
      </c>
      <c r="AC9" s="8">
        <v>68.7</v>
      </c>
      <c r="AD9" s="8">
        <v>11.1</v>
      </c>
      <c r="AE9" s="8">
        <v>67.5</v>
      </c>
      <c r="AF9" s="8"/>
      <c r="AG9" s="8"/>
      <c r="AH9" s="8"/>
      <c r="AI9" s="8"/>
      <c r="AJ9" s="18"/>
    </row>
    <row r="10" spans="2:36" x14ac:dyDescent="0.2">
      <c r="B10" s="14" t="s">
        <v>26</v>
      </c>
      <c r="C10" s="6" t="s">
        <v>29</v>
      </c>
      <c r="D10" s="8">
        <v>56.6</v>
      </c>
      <c r="E10" s="38">
        <v>66.8</v>
      </c>
      <c r="F10" s="8">
        <v>2</v>
      </c>
      <c r="G10" s="18">
        <f t="shared" si="0"/>
        <v>133.6</v>
      </c>
      <c r="I10" s="29">
        <v>9.6999999999999993</v>
      </c>
      <c r="J10" s="8">
        <v>13</v>
      </c>
      <c r="K10" s="8">
        <v>12.7</v>
      </c>
      <c r="L10" s="8">
        <v>10.7</v>
      </c>
      <c r="M10" s="8">
        <v>11.3</v>
      </c>
      <c r="N10" s="8">
        <v>7.7</v>
      </c>
      <c r="O10" s="8">
        <v>2</v>
      </c>
      <c r="P10" s="8">
        <v>4</v>
      </c>
      <c r="Q10" s="8"/>
      <c r="R10" s="8"/>
      <c r="S10" s="8"/>
      <c r="T10" s="8"/>
      <c r="U10" s="8"/>
      <c r="V10" s="18"/>
      <c r="X10" s="29">
        <v>91.1</v>
      </c>
      <c r="Y10" s="8">
        <v>89.6</v>
      </c>
      <c r="Z10" s="8">
        <v>114.1</v>
      </c>
      <c r="AA10" s="8">
        <v>81.5</v>
      </c>
      <c r="AB10" s="8">
        <v>59.2</v>
      </c>
      <c r="AC10" s="8">
        <v>27.5</v>
      </c>
      <c r="AD10" s="8">
        <v>21.7</v>
      </c>
      <c r="AE10" s="8">
        <v>597.20000000000005</v>
      </c>
      <c r="AF10" s="8"/>
      <c r="AG10" s="8"/>
      <c r="AH10" s="8"/>
      <c r="AI10" s="8"/>
      <c r="AJ10" s="18"/>
    </row>
    <row r="11" spans="2:36" x14ac:dyDescent="0.2">
      <c r="B11" s="14" t="s">
        <v>26</v>
      </c>
      <c r="C11" s="6" t="s">
        <v>27</v>
      </c>
      <c r="D11" s="8">
        <v>63.1</v>
      </c>
      <c r="E11" s="38">
        <v>63.1</v>
      </c>
      <c r="F11" s="8">
        <v>2</v>
      </c>
      <c r="G11" s="18">
        <f t="shared" si="0"/>
        <v>126.2</v>
      </c>
      <c r="I11" s="29">
        <v>15.8</v>
      </c>
      <c r="J11" s="8">
        <v>13.8</v>
      </c>
      <c r="K11" s="8">
        <v>8.6</v>
      </c>
      <c r="L11" s="8">
        <v>9.8000000000000007</v>
      </c>
      <c r="M11" s="8">
        <v>7.7</v>
      </c>
      <c r="N11" s="8">
        <v>27.7</v>
      </c>
      <c r="O11" s="8">
        <v>37.799999999999997</v>
      </c>
      <c r="P11" s="8">
        <v>6.5</v>
      </c>
      <c r="Q11" s="8"/>
      <c r="R11" s="8"/>
      <c r="S11" s="8"/>
      <c r="T11" s="8"/>
      <c r="U11" s="8"/>
      <c r="V11" s="18"/>
      <c r="X11" s="29">
        <v>81.400000000000006</v>
      </c>
      <c r="Y11" s="8">
        <v>76.599999999999994</v>
      </c>
      <c r="Z11" s="8">
        <v>100.9</v>
      </c>
      <c r="AA11" s="8">
        <v>70.8</v>
      </c>
      <c r="AB11" s="8">
        <v>63.4</v>
      </c>
      <c r="AC11" s="8">
        <v>18.8</v>
      </c>
      <c r="AD11" s="8">
        <v>69.900000000000006</v>
      </c>
      <c r="AE11" s="8"/>
      <c r="AF11" s="8"/>
      <c r="AG11" s="8"/>
      <c r="AH11" s="8"/>
      <c r="AI11" s="8"/>
      <c r="AJ11" s="18"/>
    </row>
    <row r="12" spans="2:36" x14ac:dyDescent="0.2">
      <c r="B12" s="14" t="s">
        <v>29</v>
      </c>
      <c r="C12" s="6" t="s">
        <v>30</v>
      </c>
      <c r="D12" s="8">
        <v>45.5</v>
      </c>
      <c r="E12" s="38">
        <v>45.5</v>
      </c>
      <c r="F12" s="8">
        <v>2</v>
      </c>
      <c r="G12" s="18">
        <f t="shared" si="0"/>
        <v>91</v>
      </c>
      <c r="I12" s="14">
        <v>7.3</v>
      </c>
      <c r="J12" s="6">
        <v>13</v>
      </c>
      <c r="K12" s="9">
        <v>11.8</v>
      </c>
      <c r="L12" s="9">
        <v>26.8</v>
      </c>
      <c r="M12" s="9">
        <v>15.5</v>
      </c>
      <c r="N12" s="9">
        <v>14.6</v>
      </c>
      <c r="O12" s="9">
        <v>11.8</v>
      </c>
      <c r="P12" s="9">
        <v>6</v>
      </c>
      <c r="Q12" s="8"/>
      <c r="R12" s="8"/>
      <c r="S12" s="8"/>
      <c r="T12" s="8"/>
      <c r="U12" s="8"/>
      <c r="V12" s="18"/>
      <c r="X12" s="29">
        <v>70.2</v>
      </c>
      <c r="Y12" s="8">
        <v>62.8</v>
      </c>
      <c r="Z12" s="8">
        <v>92.3</v>
      </c>
      <c r="AA12" s="8">
        <v>61</v>
      </c>
      <c r="AB12" s="8">
        <v>116.8</v>
      </c>
      <c r="AC12" s="8">
        <v>11.8</v>
      </c>
      <c r="AD12" s="8">
        <v>81.7</v>
      </c>
      <c r="AE12" s="8"/>
      <c r="AF12" s="8"/>
      <c r="AG12" s="8"/>
      <c r="AH12" s="8"/>
      <c r="AI12" s="8"/>
      <c r="AJ12" s="18"/>
    </row>
    <row r="13" spans="2:36" x14ac:dyDescent="0.2">
      <c r="B13" s="14" t="s">
        <v>29</v>
      </c>
      <c r="C13" s="8" t="s">
        <v>32</v>
      </c>
      <c r="D13" s="8">
        <v>3.3</v>
      </c>
      <c r="E13" s="38">
        <v>46.5</v>
      </c>
      <c r="F13" s="8"/>
      <c r="G13" s="18">
        <f t="shared" si="0"/>
        <v>0</v>
      </c>
      <c r="I13" s="29">
        <v>13.1</v>
      </c>
      <c r="J13" s="8">
        <v>17.399999999999999</v>
      </c>
      <c r="K13" s="8">
        <v>11.8</v>
      </c>
      <c r="L13" s="8">
        <v>5.5</v>
      </c>
      <c r="M13" s="8">
        <v>2</v>
      </c>
      <c r="N13" s="8">
        <v>5.9</v>
      </c>
      <c r="O13" s="8">
        <v>14.1</v>
      </c>
      <c r="P13" s="8">
        <v>5</v>
      </c>
      <c r="Q13" s="8"/>
      <c r="R13" s="8"/>
      <c r="S13" s="8"/>
      <c r="T13" s="8"/>
      <c r="U13" s="8"/>
      <c r="V13" s="18"/>
      <c r="X13" s="29">
        <v>21.1</v>
      </c>
      <c r="Y13" s="8">
        <v>49.8</v>
      </c>
      <c r="Z13" s="8">
        <v>81.5</v>
      </c>
      <c r="AA13" s="8">
        <v>18.5</v>
      </c>
      <c r="AB13" s="8">
        <v>100.5</v>
      </c>
      <c r="AC13" s="8">
        <v>7.2</v>
      </c>
      <c r="AD13" s="8">
        <v>95.8</v>
      </c>
      <c r="AE13" s="8"/>
      <c r="AF13" s="8"/>
      <c r="AG13" s="8"/>
      <c r="AH13" s="8"/>
      <c r="AI13" s="8"/>
      <c r="AJ13" s="18"/>
    </row>
    <row r="14" spans="2:36" x14ac:dyDescent="0.2">
      <c r="B14" s="14"/>
      <c r="C14" s="6"/>
      <c r="D14" s="8"/>
      <c r="E14" s="8"/>
      <c r="F14" s="8"/>
      <c r="G14" s="18">
        <f t="shared" si="0"/>
        <v>0</v>
      </c>
      <c r="I14" s="29">
        <v>21.7</v>
      </c>
      <c r="J14" s="8">
        <v>37</v>
      </c>
      <c r="K14" s="8">
        <v>37.700000000000003</v>
      </c>
      <c r="L14" s="8">
        <v>14.7</v>
      </c>
      <c r="M14" s="8">
        <v>14</v>
      </c>
      <c r="N14" s="8">
        <v>11.7</v>
      </c>
      <c r="O14" s="8">
        <v>20.5</v>
      </c>
      <c r="P14" s="8">
        <v>4.5999999999999996</v>
      </c>
      <c r="Q14" s="8"/>
      <c r="R14" s="8"/>
      <c r="S14" s="8"/>
      <c r="T14" s="8"/>
      <c r="U14" s="8"/>
      <c r="V14" s="18"/>
      <c r="X14" s="29">
        <v>7.7</v>
      </c>
      <c r="Y14" s="8">
        <v>17.5</v>
      </c>
      <c r="Z14" s="8">
        <v>69.7</v>
      </c>
      <c r="AA14" s="8">
        <v>45.4</v>
      </c>
      <c r="AB14" s="8">
        <v>93.9</v>
      </c>
      <c r="AC14" s="8">
        <v>15.6</v>
      </c>
      <c r="AD14" s="8">
        <v>362.4</v>
      </c>
      <c r="AE14" s="8"/>
      <c r="AF14" s="8"/>
      <c r="AG14" s="8"/>
      <c r="AH14" s="8"/>
      <c r="AI14" s="8"/>
      <c r="AJ14" s="18"/>
    </row>
    <row r="15" spans="2:36" x14ac:dyDescent="0.2">
      <c r="B15" s="14"/>
      <c r="C15" s="6"/>
      <c r="D15" s="8"/>
      <c r="E15" s="8"/>
      <c r="F15" s="8"/>
      <c r="G15" s="18">
        <f t="shared" si="0"/>
        <v>0</v>
      </c>
      <c r="I15" s="29">
        <v>8.6</v>
      </c>
      <c r="J15" s="8">
        <v>17.2</v>
      </c>
      <c r="K15" s="8">
        <v>3.5</v>
      </c>
      <c r="L15" s="8">
        <v>14.3</v>
      </c>
      <c r="M15" s="8">
        <v>5</v>
      </c>
      <c r="N15" s="8">
        <v>8.3000000000000007</v>
      </c>
      <c r="O15" s="8">
        <v>9</v>
      </c>
      <c r="P15" s="8"/>
      <c r="Q15" s="8"/>
      <c r="R15" s="8"/>
      <c r="S15" s="8"/>
      <c r="T15" s="8"/>
      <c r="U15" s="8"/>
      <c r="V15" s="18"/>
      <c r="X15" s="29">
        <v>10.6</v>
      </c>
      <c r="Y15" s="8">
        <v>6.3</v>
      </c>
      <c r="Z15" s="8">
        <v>22.6</v>
      </c>
      <c r="AA15" s="8">
        <v>58.1</v>
      </c>
      <c r="AB15" s="8">
        <v>80.5</v>
      </c>
      <c r="AC15" s="8">
        <v>55.9</v>
      </c>
      <c r="AD15" s="8"/>
      <c r="AE15" s="8"/>
      <c r="AF15" s="8"/>
      <c r="AG15" s="8"/>
      <c r="AH15" s="8"/>
      <c r="AI15" s="8"/>
      <c r="AJ15" s="18"/>
    </row>
    <row r="16" spans="2:36" x14ac:dyDescent="0.2">
      <c r="B16" s="14"/>
      <c r="C16" s="6"/>
      <c r="D16" s="8"/>
      <c r="E16" s="8"/>
      <c r="F16" s="8"/>
      <c r="G16" s="18">
        <f t="shared" si="0"/>
        <v>0</v>
      </c>
      <c r="I16" s="29">
        <v>6.9</v>
      </c>
      <c r="J16" s="8">
        <v>38</v>
      </c>
      <c r="K16" s="8">
        <v>15.5</v>
      </c>
      <c r="L16" s="8">
        <v>12.7</v>
      </c>
      <c r="M16" s="8">
        <v>9</v>
      </c>
      <c r="N16" s="8">
        <v>13.5</v>
      </c>
      <c r="O16" s="8">
        <v>4</v>
      </c>
      <c r="P16" s="8"/>
      <c r="Q16" s="8"/>
      <c r="R16" s="8"/>
      <c r="S16" s="8"/>
      <c r="T16" s="8"/>
      <c r="U16" s="8"/>
      <c r="V16" s="18"/>
      <c r="X16" s="29">
        <v>40.799999999999997</v>
      </c>
      <c r="Y16" s="8">
        <v>17.8</v>
      </c>
      <c r="Z16" s="8">
        <v>11.6</v>
      </c>
      <c r="AA16" s="8">
        <v>72.400000000000006</v>
      </c>
      <c r="AB16" s="8">
        <v>74</v>
      </c>
      <c r="AC16" s="8">
        <v>68.599999999999994</v>
      </c>
      <c r="AD16" s="8"/>
      <c r="AE16" s="8"/>
      <c r="AF16" s="8"/>
      <c r="AG16" s="8"/>
      <c r="AH16" s="8"/>
      <c r="AI16" s="8"/>
      <c r="AJ16" s="18"/>
    </row>
    <row r="17" spans="2:36" x14ac:dyDescent="0.2">
      <c r="B17" s="14"/>
      <c r="C17" s="6"/>
      <c r="D17" s="8"/>
      <c r="E17" s="8"/>
      <c r="F17" s="8"/>
      <c r="G17" s="18">
        <f t="shared" si="0"/>
        <v>0</v>
      </c>
      <c r="I17" s="29">
        <v>37.700000000000003</v>
      </c>
      <c r="J17" s="8">
        <v>11.8</v>
      </c>
      <c r="K17" s="8">
        <v>3.6</v>
      </c>
      <c r="L17" s="8">
        <v>41.7</v>
      </c>
      <c r="M17" s="8">
        <v>6.4</v>
      </c>
      <c r="N17" s="8">
        <v>12</v>
      </c>
      <c r="O17" s="8">
        <v>3.3</v>
      </c>
      <c r="P17" s="8"/>
      <c r="Q17" s="8"/>
      <c r="R17" s="8"/>
      <c r="S17" s="8"/>
      <c r="T17" s="8"/>
      <c r="U17" s="8"/>
      <c r="V17" s="18"/>
      <c r="X17" s="29">
        <v>49.4</v>
      </c>
      <c r="Y17" s="8">
        <v>25.8</v>
      </c>
      <c r="Z17" s="8">
        <v>15.1</v>
      </c>
      <c r="AA17" s="8">
        <v>87.1</v>
      </c>
      <c r="AB17" s="8">
        <v>60.2</v>
      </c>
      <c r="AC17" s="8">
        <v>75.7</v>
      </c>
      <c r="AD17" s="8"/>
      <c r="AE17" s="8"/>
      <c r="AF17" s="8"/>
      <c r="AG17" s="8"/>
      <c r="AH17" s="8"/>
      <c r="AI17" s="8"/>
      <c r="AJ17" s="18"/>
    </row>
    <row r="18" spans="2:36" x14ac:dyDescent="0.2">
      <c r="B18" s="14"/>
      <c r="C18" s="6"/>
      <c r="D18" s="8"/>
      <c r="E18" s="8"/>
      <c r="F18" s="8"/>
      <c r="G18" s="18">
        <f t="shared" si="0"/>
        <v>0</v>
      </c>
      <c r="I18" s="29">
        <v>38.5</v>
      </c>
      <c r="J18" s="8">
        <v>7.8</v>
      </c>
      <c r="K18" s="8">
        <v>6.2</v>
      </c>
      <c r="L18" s="8">
        <v>35</v>
      </c>
      <c r="M18" s="8">
        <v>31.8</v>
      </c>
      <c r="N18" s="8">
        <v>22.3</v>
      </c>
      <c r="O18" s="8">
        <v>3.3</v>
      </c>
      <c r="P18" s="8"/>
      <c r="Q18" s="8"/>
      <c r="R18" s="8"/>
      <c r="S18" s="8"/>
      <c r="T18" s="8"/>
      <c r="U18" s="8"/>
      <c r="V18" s="18"/>
      <c r="X18" s="29">
        <v>72.599999999999994</v>
      </c>
      <c r="Y18" s="8">
        <v>65.900000000000006</v>
      </c>
      <c r="Z18" s="8">
        <v>26.3</v>
      </c>
      <c r="AA18" s="8">
        <v>533.4</v>
      </c>
      <c r="AB18" s="8">
        <v>18.3</v>
      </c>
      <c r="AC18" s="8">
        <v>89.5</v>
      </c>
      <c r="AD18" s="8"/>
      <c r="AE18" s="8"/>
      <c r="AF18" s="8"/>
      <c r="AG18" s="8"/>
      <c r="AH18" s="8"/>
      <c r="AI18" s="8"/>
      <c r="AJ18" s="18"/>
    </row>
    <row r="19" spans="2:36" x14ac:dyDescent="0.2">
      <c r="B19" s="32"/>
      <c r="C19" s="33"/>
      <c r="D19" s="23"/>
      <c r="E19" s="8"/>
      <c r="F19" s="23"/>
      <c r="G19" s="18">
        <f t="shared" si="0"/>
        <v>0</v>
      </c>
      <c r="I19" s="29">
        <v>4</v>
      </c>
      <c r="J19" s="8">
        <v>12.9</v>
      </c>
      <c r="K19" s="8">
        <v>8.1999999999999993</v>
      </c>
      <c r="L19" s="8">
        <v>14.8</v>
      </c>
      <c r="M19" s="8">
        <v>13.8</v>
      </c>
      <c r="N19" s="8">
        <v>21</v>
      </c>
      <c r="O19" s="8"/>
      <c r="P19" s="8"/>
      <c r="Q19" s="8"/>
      <c r="R19" s="8"/>
      <c r="S19" s="8"/>
      <c r="T19" s="8"/>
      <c r="U19" s="8"/>
      <c r="V19" s="18"/>
      <c r="X19" s="29">
        <v>85.7</v>
      </c>
      <c r="Y19" s="8">
        <v>75.900000000000006</v>
      </c>
      <c r="Z19" s="8">
        <v>71.8</v>
      </c>
      <c r="AA19" s="8"/>
      <c r="AB19" s="8">
        <v>7.5</v>
      </c>
      <c r="AC19" s="8">
        <v>96.3</v>
      </c>
      <c r="AD19" s="8"/>
      <c r="AE19" s="8"/>
      <c r="AF19" s="8"/>
      <c r="AG19" s="8"/>
      <c r="AH19" s="8"/>
      <c r="AI19" s="8"/>
      <c r="AJ19" s="18"/>
    </row>
    <row r="20" spans="2:36" x14ac:dyDescent="0.2">
      <c r="B20" s="32"/>
      <c r="C20" s="33"/>
      <c r="D20" s="23"/>
      <c r="E20" s="8"/>
      <c r="F20" s="23"/>
      <c r="G20" s="18">
        <f t="shared" si="0"/>
        <v>0</v>
      </c>
      <c r="I20" s="29">
        <v>6</v>
      </c>
      <c r="J20" s="8">
        <v>7.7</v>
      </c>
      <c r="K20" s="8">
        <v>23.2</v>
      </c>
      <c r="L20" s="8"/>
      <c r="M20" s="8">
        <v>6.5</v>
      </c>
      <c r="N20" s="8"/>
      <c r="O20" s="8"/>
      <c r="P20" s="8"/>
      <c r="Q20" s="8"/>
      <c r="R20" s="8"/>
      <c r="S20" s="8"/>
      <c r="T20" s="8"/>
      <c r="U20" s="8"/>
      <c r="V20" s="18"/>
      <c r="X20" s="29">
        <v>93</v>
      </c>
      <c r="Y20" s="8">
        <v>84.9</v>
      </c>
      <c r="Z20" s="8">
        <v>83.7</v>
      </c>
      <c r="AA20" s="8"/>
      <c r="AB20" s="8">
        <v>47.4</v>
      </c>
      <c r="AC20" s="8">
        <v>109.8</v>
      </c>
      <c r="AD20" s="8"/>
      <c r="AE20" s="8"/>
      <c r="AF20" s="8"/>
      <c r="AG20" s="8"/>
      <c r="AH20" s="8"/>
      <c r="AI20" s="8"/>
      <c r="AJ20" s="18"/>
    </row>
    <row r="21" spans="2:36" x14ac:dyDescent="0.2">
      <c r="B21" s="32"/>
      <c r="C21" s="33"/>
      <c r="D21" s="23"/>
      <c r="E21" s="8"/>
      <c r="F21" s="23"/>
      <c r="G21" s="34">
        <f t="shared" si="0"/>
        <v>0</v>
      </c>
      <c r="I21" s="29">
        <v>2.5</v>
      </c>
      <c r="J21" s="8">
        <v>12</v>
      </c>
      <c r="K21" s="8">
        <v>13.4</v>
      </c>
      <c r="L21" s="8"/>
      <c r="M21" s="8">
        <v>13.4</v>
      </c>
      <c r="N21" s="8"/>
      <c r="O21" s="8"/>
      <c r="P21" s="8"/>
      <c r="Q21" s="8"/>
      <c r="R21" s="8"/>
      <c r="S21" s="8"/>
      <c r="T21" s="8"/>
      <c r="U21" s="8"/>
      <c r="V21" s="18"/>
      <c r="X21" s="29">
        <v>108.8</v>
      </c>
      <c r="Y21" s="8">
        <v>97.1</v>
      </c>
      <c r="Z21" s="8">
        <v>96.7</v>
      </c>
      <c r="AA21" s="8"/>
      <c r="AB21" s="8">
        <v>65.2</v>
      </c>
      <c r="AC21" s="8">
        <v>117.5</v>
      </c>
      <c r="AD21" s="8"/>
      <c r="AE21" s="8"/>
      <c r="AF21" s="8"/>
      <c r="AG21" s="8"/>
      <c r="AH21" s="8"/>
      <c r="AI21" s="8"/>
      <c r="AJ21" s="18"/>
    </row>
    <row r="22" spans="2:36" ht="15.75" thickBot="1" x14ac:dyDescent="0.25">
      <c r="B22" s="35"/>
      <c r="C22" s="36"/>
      <c r="D22" s="31"/>
      <c r="E22" s="31"/>
      <c r="F22" s="31"/>
      <c r="G22" s="19">
        <f t="shared" si="0"/>
        <v>0</v>
      </c>
      <c r="I22" s="29">
        <v>1.1000000000000001</v>
      </c>
      <c r="J22" s="8">
        <v>8</v>
      </c>
      <c r="K22" s="8">
        <v>12.7</v>
      </c>
      <c r="L22" s="8"/>
      <c r="M22" s="8">
        <v>6.6</v>
      </c>
      <c r="N22" s="8"/>
      <c r="O22" s="8"/>
      <c r="P22" s="8"/>
      <c r="Q22" s="8"/>
      <c r="R22" s="8"/>
      <c r="S22" s="8"/>
      <c r="T22" s="8"/>
      <c r="U22" s="8"/>
      <c r="V22" s="18"/>
      <c r="X22" s="29">
        <v>118.5</v>
      </c>
      <c r="Y22" s="8">
        <v>105.1</v>
      </c>
      <c r="Z22" s="8">
        <v>108.8</v>
      </c>
      <c r="AA22" s="8"/>
      <c r="AB22" s="8">
        <v>79.3</v>
      </c>
      <c r="AC22" s="8"/>
      <c r="AD22" s="8"/>
      <c r="AE22" s="8"/>
      <c r="AF22" s="8"/>
      <c r="AG22" s="8"/>
      <c r="AH22" s="8"/>
      <c r="AI22" s="8"/>
      <c r="AJ22" s="18"/>
    </row>
    <row r="23" spans="2:36" ht="15.75" thickBot="1" x14ac:dyDescent="0.25">
      <c r="I23" s="29"/>
      <c r="J23" s="8">
        <v>12.2</v>
      </c>
      <c r="K23" s="8">
        <v>12.9</v>
      </c>
      <c r="L23" s="8"/>
      <c r="M23" s="8">
        <v>40.200000000000003</v>
      </c>
      <c r="N23" s="8"/>
      <c r="O23" s="8"/>
      <c r="P23" s="8"/>
      <c r="Q23" s="8"/>
      <c r="R23" s="8"/>
      <c r="S23" s="8"/>
      <c r="T23" s="8"/>
      <c r="U23" s="8"/>
      <c r="V23" s="18"/>
      <c r="X23" s="29">
        <v>127.1</v>
      </c>
      <c r="Y23" s="8">
        <v>117.1</v>
      </c>
      <c r="Z23" s="8">
        <v>122.2</v>
      </c>
      <c r="AA23" s="8"/>
      <c r="AB23" s="8">
        <v>85.1</v>
      </c>
      <c r="AC23" s="8"/>
      <c r="AD23" s="8"/>
      <c r="AE23" s="8"/>
      <c r="AF23" s="8"/>
      <c r="AG23" s="8"/>
      <c r="AH23" s="8"/>
      <c r="AI23" s="8"/>
      <c r="AJ23" s="18"/>
    </row>
    <row r="24" spans="2:36" ht="15.75" thickBot="1" x14ac:dyDescent="0.25">
      <c r="B24" s="3">
        <f>SUM(B4:B16)</f>
        <v>0</v>
      </c>
      <c r="C24" s="3">
        <f>SUM(C4:C16)</f>
        <v>0</v>
      </c>
      <c r="D24" s="3">
        <f>SUM(D4:D22)</f>
        <v>969.4</v>
      </c>
      <c r="E24" s="3">
        <f>SUM(E4:E22)</f>
        <v>1054.7</v>
      </c>
      <c r="F24" s="3">
        <v>0</v>
      </c>
      <c r="G24" s="3">
        <f>SUM(G4:G22)</f>
        <v>2532</v>
      </c>
      <c r="I24" s="29"/>
      <c r="J24" s="8">
        <v>9</v>
      </c>
      <c r="K24" s="8">
        <v>12.7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18"/>
      <c r="X24" s="29">
        <v>136</v>
      </c>
      <c r="Y24" s="8">
        <v>124.8</v>
      </c>
      <c r="Z24" s="8">
        <v>134.9</v>
      </c>
      <c r="AA24" s="8"/>
      <c r="AB24" s="8">
        <v>98.6</v>
      </c>
      <c r="AC24" s="8"/>
      <c r="AD24" s="8"/>
      <c r="AE24" s="8"/>
      <c r="AF24" s="8"/>
      <c r="AG24" s="8"/>
      <c r="AH24" s="8"/>
      <c r="AI24" s="8"/>
      <c r="AJ24" s="18"/>
    </row>
    <row r="25" spans="2:36" ht="15.75" thickBot="1" x14ac:dyDescent="0.25">
      <c r="F25" s="11" t="s">
        <v>14</v>
      </c>
      <c r="G25" s="11">
        <f>SUM(H4:H22)</f>
        <v>10</v>
      </c>
      <c r="I25" s="29"/>
      <c r="J25" s="8">
        <v>10</v>
      </c>
      <c r="K25" s="8">
        <v>13.4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18"/>
      <c r="X25" s="29">
        <v>145.4</v>
      </c>
      <c r="Y25" s="8">
        <v>137.69999999999999</v>
      </c>
      <c r="Z25" s="8">
        <v>147.80000000000001</v>
      </c>
      <c r="AA25" s="8"/>
      <c r="AB25" s="8">
        <v>104.9</v>
      </c>
      <c r="AC25" s="8"/>
      <c r="AD25" s="8"/>
      <c r="AE25" s="8"/>
      <c r="AF25" s="8"/>
      <c r="AG25" s="8"/>
      <c r="AH25" s="8"/>
      <c r="AI25" s="8"/>
      <c r="AJ25" s="18"/>
    </row>
    <row r="26" spans="2:36" ht="15.75" thickBot="1" x14ac:dyDescent="0.25">
      <c r="B26" s="1" t="s">
        <v>5</v>
      </c>
      <c r="C26" s="3">
        <f>D24</f>
        <v>969.4</v>
      </c>
      <c r="I26" s="14"/>
      <c r="J26" s="6">
        <v>30.4</v>
      </c>
      <c r="K26" s="9">
        <v>12.1</v>
      </c>
      <c r="L26" s="9"/>
      <c r="M26" s="8"/>
      <c r="N26" s="8"/>
      <c r="O26" s="8"/>
      <c r="P26" s="8"/>
      <c r="Q26" s="8"/>
      <c r="R26" s="8"/>
      <c r="S26" s="8"/>
      <c r="T26" s="8"/>
      <c r="U26" s="8"/>
      <c r="V26" s="18"/>
      <c r="X26" s="29">
        <v>158</v>
      </c>
      <c r="Y26" s="8">
        <v>145.5</v>
      </c>
      <c r="Z26" s="8">
        <v>160.5</v>
      </c>
      <c r="AA26" s="8"/>
      <c r="AB26" s="8">
        <v>115.9</v>
      </c>
      <c r="AC26" s="8"/>
      <c r="AD26" s="8"/>
      <c r="AE26" s="8"/>
      <c r="AF26" s="8"/>
      <c r="AG26" s="8"/>
      <c r="AH26" s="8"/>
      <c r="AI26" s="8"/>
      <c r="AJ26" s="18"/>
    </row>
    <row r="27" spans="2:36" ht="15.75" thickBot="1" x14ac:dyDescent="0.25">
      <c r="B27" s="1" t="s">
        <v>4</v>
      </c>
      <c r="C27" s="3">
        <f>G24</f>
        <v>2532</v>
      </c>
      <c r="I27" s="29"/>
      <c r="J27" s="8"/>
      <c r="K27" s="8">
        <v>13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18"/>
      <c r="X27" s="29">
        <v>165.6</v>
      </c>
      <c r="Y27" s="8">
        <v>157.30000000000001</v>
      </c>
      <c r="Z27" s="8">
        <v>173.9</v>
      </c>
      <c r="AA27" s="8"/>
      <c r="AB27" s="8"/>
      <c r="AC27" s="8"/>
      <c r="AD27" s="8"/>
      <c r="AE27" s="8"/>
      <c r="AF27" s="8"/>
      <c r="AG27" s="8"/>
      <c r="AH27" s="8"/>
      <c r="AI27" s="8"/>
      <c r="AJ27" s="18"/>
    </row>
    <row r="28" spans="2:36" ht="15.75" thickBot="1" x14ac:dyDescent="0.25">
      <c r="I28" s="29"/>
      <c r="K28" s="8">
        <v>11.9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18"/>
      <c r="X28" s="29">
        <v>173.6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8"/>
    </row>
    <row r="29" spans="2:36" x14ac:dyDescent="0.2">
      <c r="B29" s="101" t="s">
        <v>20</v>
      </c>
      <c r="C29" s="102"/>
      <c r="D29" s="102"/>
      <c r="E29" s="103"/>
      <c r="I29" s="29"/>
      <c r="J29" s="8"/>
      <c r="K29" s="8">
        <v>38.299999999999997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18"/>
      <c r="X29" s="2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18"/>
    </row>
    <row r="30" spans="2:36" ht="15.75" thickBot="1" x14ac:dyDescent="0.25">
      <c r="B30" s="104"/>
      <c r="C30" s="105"/>
      <c r="D30" s="105"/>
      <c r="E30" s="106"/>
      <c r="I30" s="29"/>
      <c r="J30" s="8"/>
      <c r="K30" s="8">
        <v>45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18"/>
      <c r="X30" s="29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18"/>
    </row>
    <row r="31" spans="2:36" x14ac:dyDescent="0.2">
      <c r="B31" s="101" t="s">
        <v>18</v>
      </c>
      <c r="C31" s="102"/>
      <c r="D31" s="102"/>
      <c r="E31" s="103"/>
      <c r="I31" s="14"/>
      <c r="J31" s="6"/>
      <c r="K31" s="9"/>
      <c r="L31" s="9"/>
      <c r="M31" s="9"/>
      <c r="N31" s="9"/>
      <c r="O31" s="9"/>
      <c r="P31" s="8"/>
      <c r="Q31" s="8"/>
      <c r="R31" s="8"/>
      <c r="S31" s="8"/>
      <c r="T31" s="8"/>
      <c r="U31" s="8"/>
      <c r="V31" s="18"/>
      <c r="X31" s="29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18"/>
    </row>
    <row r="32" spans="2:36" ht="15.75" thickBot="1" x14ac:dyDescent="0.25">
      <c r="B32" s="104"/>
      <c r="C32" s="105"/>
      <c r="D32" s="105"/>
      <c r="E32" s="106"/>
      <c r="I32" s="2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8"/>
      <c r="X32" s="29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18"/>
    </row>
    <row r="33" spans="2:36" ht="15.75" thickBot="1" x14ac:dyDescent="0.25">
      <c r="I33" s="30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19"/>
      <c r="X33" s="29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18"/>
    </row>
    <row r="34" spans="2:36" ht="15.75" thickBot="1" x14ac:dyDescent="0.25">
      <c r="I34" s="27">
        <f>SUM(I4:I33)</f>
        <v>227.99999999999997</v>
      </c>
      <c r="J34" s="27">
        <f t="shared" ref="J34:V34" si="1">SUM(J4:J33)</f>
        <v>328.59999999999997</v>
      </c>
      <c r="K34" s="27">
        <f t="shared" si="1"/>
        <v>403.2999999999999</v>
      </c>
      <c r="L34" s="27">
        <f t="shared" si="1"/>
        <v>239.8</v>
      </c>
      <c r="M34" s="27">
        <f t="shared" si="1"/>
        <v>343.09999999999997</v>
      </c>
      <c r="N34" s="27">
        <f t="shared" si="1"/>
        <v>226.10000000000002</v>
      </c>
      <c r="O34" s="27">
        <f t="shared" si="1"/>
        <v>193.8</v>
      </c>
      <c r="P34" s="27">
        <f t="shared" si="1"/>
        <v>219.9</v>
      </c>
      <c r="Q34" s="27">
        <f t="shared" si="1"/>
        <v>0</v>
      </c>
      <c r="R34" s="27">
        <f t="shared" si="1"/>
        <v>0</v>
      </c>
      <c r="S34" s="27">
        <f t="shared" si="1"/>
        <v>0</v>
      </c>
      <c r="T34" s="27">
        <f t="shared" si="1"/>
        <v>0</v>
      </c>
      <c r="U34" s="27">
        <f t="shared" si="1"/>
        <v>0</v>
      </c>
      <c r="V34" s="27">
        <f t="shared" si="1"/>
        <v>0</v>
      </c>
      <c r="X34" s="29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18"/>
    </row>
    <row r="35" spans="2:36" ht="15.75" thickBot="1" x14ac:dyDescent="0.25">
      <c r="B35" s="4" t="s">
        <v>7</v>
      </c>
      <c r="C35" s="12">
        <f>C36-C37</f>
        <v>3151.9999999999995</v>
      </c>
      <c r="X35" s="29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18"/>
    </row>
    <row r="36" spans="2:36" ht="15.75" thickBot="1" x14ac:dyDescent="0.25">
      <c r="B36" s="4" t="s">
        <v>8</v>
      </c>
      <c r="C36" s="3">
        <f>C26+K42</f>
        <v>3151.9999999999995</v>
      </c>
      <c r="I36" s="7"/>
      <c r="X36" s="29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18"/>
    </row>
    <row r="37" spans="2:36" ht="15.75" thickBot="1" x14ac:dyDescent="0.25">
      <c r="B37" s="4" t="s">
        <v>12</v>
      </c>
      <c r="C37" s="3"/>
      <c r="X37" s="29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18"/>
    </row>
    <row r="38" spans="2:36" x14ac:dyDescent="0.2">
      <c r="T38" s="10"/>
      <c r="U38" s="10"/>
      <c r="V38" s="10"/>
      <c r="W38" s="10"/>
      <c r="X38" s="29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18"/>
    </row>
    <row r="39" spans="2:36" x14ac:dyDescent="0.2">
      <c r="X39" s="29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18"/>
    </row>
    <row r="40" spans="2:36" ht="15.75" thickBot="1" x14ac:dyDescent="0.25">
      <c r="X40" s="30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19"/>
    </row>
    <row r="41" spans="2:36" ht="15.75" thickBot="1" x14ac:dyDescent="0.25">
      <c r="X41" s="24">
        <f>SUM(X4:X40)</f>
        <v>2515.6999999999998</v>
      </c>
      <c r="Y41" s="25">
        <f t="shared" ref="Y41:AJ41" si="2">SUM(Y4:Y40)</f>
        <v>2185.3999999999996</v>
      </c>
      <c r="Z41" s="25">
        <f t="shared" si="2"/>
        <v>2583.8000000000002</v>
      </c>
      <c r="AA41" s="25">
        <f t="shared" si="2"/>
        <v>2246.6</v>
      </c>
      <c r="AB41" s="25">
        <f t="shared" si="2"/>
        <v>2197.1</v>
      </c>
      <c r="AC41" s="25">
        <f t="shared" si="2"/>
        <v>1268.2</v>
      </c>
      <c r="AD41" s="25">
        <f t="shared" si="2"/>
        <v>894.59999999999991</v>
      </c>
      <c r="AE41" s="25">
        <f t="shared" si="2"/>
        <v>1534.6</v>
      </c>
      <c r="AF41" s="25">
        <f t="shared" si="2"/>
        <v>0</v>
      </c>
      <c r="AG41" s="25">
        <f t="shared" si="2"/>
        <v>0</v>
      </c>
      <c r="AH41" s="25">
        <f t="shared" si="2"/>
        <v>0</v>
      </c>
      <c r="AI41" s="25">
        <f t="shared" si="2"/>
        <v>0</v>
      </c>
      <c r="AJ41" s="26">
        <f t="shared" si="2"/>
        <v>0</v>
      </c>
    </row>
    <row r="42" spans="2:36" ht="15.75" thickBot="1" x14ac:dyDescent="0.25">
      <c r="I42" s="95" t="s">
        <v>5</v>
      </c>
      <c r="J42" s="96"/>
      <c r="K42" s="3">
        <f>I34+J34+K34+L34+M34+N34+O34+P34+Q34+R34+S34+T34+U34+V34</f>
        <v>2182.5999999999995</v>
      </c>
    </row>
    <row r="43" spans="2:36" ht="15.75" thickBot="1" x14ac:dyDescent="0.25">
      <c r="X43" s="80" t="s">
        <v>5</v>
      </c>
      <c r="Y43" s="86"/>
      <c r="Z43" s="81"/>
      <c r="AA43" s="3">
        <f>X41+Y41+Z41+AA41+AB41+AC41+AD41+AE41+AF41+AG41+AH41+AI41+AJ41</f>
        <v>15426.000000000002</v>
      </c>
      <c r="AB43" s="83"/>
      <c r="AC43" s="87" t="s">
        <v>16</v>
      </c>
      <c r="AD43" s="88"/>
      <c r="AE43" s="82" t="s">
        <v>10</v>
      </c>
      <c r="AF43" s="107"/>
      <c r="AG43" s="83"/>
      <c r="AH43" s="87" t="s">
        <v>17</v>
      </c>
      <c r="AI43" s="88"/>
    </row>
    <row r="44" spans="2:36" ht="15.75" thickBot="1" x14ac:dyDescent="0.25">
      <c r="W44" s="11" t="s">
        <v>15</v>
      </c>
      <c r="X44" s="71">
        <v>141</v>
      </c>
      <c r="Y44" s="72"/>
      <c r="Z44" s="73">
        <f>X45*X44</f>
        <v>282</v>
      </c>
      <c r="AB44" s="83"/>
      <c r="AC44" s="89"/>
      <c r="AD44" s="90"/>
      <c r="AE44" s="82"/>
      <c r="AF44" s="107"/>
      <c r="AG44" s="83"/>
      <c r="AH44" s="89"/>
      <c r="AI44" s="90"/>
    </row>
    <row r="45" spans="2:36" ht="15.75" thickBot="1" x14ac:dyDescent="0.25">
      <c r="C45" s="78" t="s">
        <v>33</v>
      </c>
      <c r="D45" s="94"/>
      <c r="E45" s="79"/>
      <c r="X45" s="74">
        <v>2</v>
      </c>
      <c r="Y45" s="75"/>
      <c r="Z45" s="70"/>
      <c r="AB45" s="83"/>
      <c r="AC45" s="67">
        <f>AA43+Z44</f>
        <v>15708.000000000002</v>
      </c>
      <c r="AD45" s="68"/>
      <c r="AE45" s="82"/>
      <c r="AF45" s="107"/>
      <c r="AG45" s="83"/>
      <c r="AH45" s="67">
        <v>146</v>
      </c>
      <c r="AI45" s="68"/>
    </row>
    <row r="46" spans="2:36" ht="15.75" thickBot="1" x14ac:dyDescent="0.25">
      <c r="C46" s="39" t="s">
        <v>8</v>
      </c>
      <c r="D46" s="108">
        <v>3152</v>
      </c>
      <c r="E46" s="109"/>
      <c r="AB46" s="83"/>
      <c r="AC46" s="69"/>
      <c r="AD46" s="70"/>
      <c r="AE46" s="82"/>
      <c r="AF46" s="107"/>
      <c r="AG46" s="83"/>
      <c r="AH46" s="69"/>
      <c r="AI46" s="70"/>
    </row>
    <row r="47" spans="2:36" ht="15.75" thickBot="1" x14ac:dyDescent="0.25">
      <c r="AD47" s="2">
        <v>500</v>
      </c>
    </row>
    <row r="48" spans="2:36" x14ac:dyDescent="0.2">
      <c r="AC48" s="87" t="s">
        <v>19</v>
      </c>
      <c r="AD48" s="88"/>
    </row>
    <row r="49" spans="29:30" x14ac:dyDescent="0.2">
      <c r="AC49" s="89"/>
      <c r="AD49" s="90"/>
    </row>
    <row r="50" spans="29:30" x14ac:dyDescent="0.2">
      <c r="AC50" s="67">
        <f>AC45/AD47</f>
        <v>31.416000000000004</v>
      </c>
      <c r="AD50" s="68"/>
    </row>
    <row r="51" spans="29:30" ht="15.75" thickBot="1" x14ac:dyDescent="0.25">
      <c r="AC51" s="69"/>
      <c r="AD51" s="70"/>
    </row>
  </sheetData>
  <autoFilter ref="B3:G3" xr:uid="{00000000-0001-0000-0000-000000000000}">
    <sortState xmlns:xlrd2="http://schemas.microsoft.com/office/spreadsheetml/2017/richdata2" ref="B4:G22">
      <sortCondition descending="1" ref="E3"/>
    </sortState>
  </autoFilter>
  <mergeCells count="20">
    <mergeCell ref="AC48:AD49"/>
    <mergeCell ref="AC50:AD51"/>
    <mergeCell ref="AC45:AD46"/>
    <mergeCell ref="AH45:AI46"/>
    <mergeCell ref="B2:G2"/>
    <mergeCell ref="I42:J42"/>
    <mergeCell ref="X2:AJ2"/>
    <mergeCell ref="I2:V2"/>
    <mergeCell ref="X43:Z43"/>
    <mergeCell ref="AC43:AD44"/>
    <mergeCell ref="B29:E30"/>
    <mergeCell ref="B31:E32"/>
    <mergeCell ref="X44:Y44"/>
    <mergeCell ref="AH43:AI44"/>
    <mergeCell ref="Z44:Z45"/>
    <mergeCell ref="AE43:AG46"/>
    <mergeCell ref="AB43:AB46"/>
    <mergeCell ref="X45:Y45"/>
    <mergeCell ref="C45:E45"/>
    <mergeCell ref="D46:E46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ABB5-8EDD-47C8-9178-D14F8D8E8801}">
  <dimension ref="A1:X50"/>
  <sheetViews>
    <sheetView tabSelected="1" topLeftCell="A20" workbookViewId="0">
      <selection activeCell="I42" sqref="I42"/>
    </sheetView>
  </sheetViews>
  <sheetFormatPr defaultRowHeight="14.25" x14ac:dyDescent="0.2"/>
  <cols>
    <col min="1" max="1" width="27.625" style="10" bestFit="1" customWidth="1"/>
    <col min="2" max="2" width="11.375" style="10" bestFit="1" customWidth="1"/>
    <col min="3" max="3" width="9" style="10"/>
    <col min="4" max="4" width="10.375" style="10" customWidth="1"/>
    <col min="5" max="22" width="9" style="10"/>
    <col min="23" max="23" width="12.625" style="10" customWidth="1"/>
    <col min="24" max="24" width="15.5" style="10" customWidth="1"/>
    <col min="25" max="16384" width="9" style="10"/>
  </cols>
  <sheetData>
    <row r="1" spans="1:24" ht="15.75" thickBot="1" x14ac:dyDescent="0.25">
      <c r="A1" s="91" t="s">
        <v>2</v>
      </c>
      <c r="B1" s="92"/>
      <c r="C1" s="92"/>
      <c r="D1" s="92"/>
      <c r="E1" s="93"/>
      <c r="H1" s="78" t="s">
        <v>34</v>
      </c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79"/>
    </row>
    <row r="2" spans="1:24" ht="15.75" thickBot="1" x14ac:dyDescent="0.25">
      <c r="A2" s="45" t="s">
        <v>0</v>
      </c>
      <c r="B2" s="45" t="s">
        <v>1</v>
      </c>
      <c r="C2" s="45" t="s">
        <v>35</v>
      </c>
      <c r="D2" s="45" t="s">
        <v>3</v>
      </c>
      <c r="E2" s="45" t="s">
        <v>36</v>
      </c>
      <c r="H2" s="46" t="s">
        <v>22</v>
      </c>
      <c r="I2" s="47" t="s">
        <v>23</v>
      </c>
      <c r="J2" s="47" t="s">
        <v>24</v>
      </c>
      <c r="K2" s="47" t="s">
        <v>25</v>
      </c>
      <c r="L2" s="47" t="s">
        <v>31</v>
      </c>
      <c r="M2" s="47" t="s">
        <v>27</v>
      </c>
      <c r="N2" s="47" t="s">
        <v>28</v>
      </c>
      <c r="O2" s="47" t="s">
        <v>29</v>
      </c>
      <c r="P2" s="47"/>
      <c r="Q2" s="47"/>
      <c r="R2" s="47"/>
      <c r="S2" s="47"/>
      <c r="T2" s="48"/>
      <c r="W2" s="78" t="s">
        <v>37</v>
      </c>
      <c r="X2" s="79"/>
    </row>
    <row r="3" spans="1:24" ht="15" x14ac:dyDescent="0.2">
      <c r="A3" s="49" t="s">
        <v>64</v>
      </c>
      <c r="B3" s="50" t="s">
        <v>65</v>
      </c>
      <c r="C3" s="51">
        <v>14</v>
      </c>
      <c r="D3" s="51">
        <v>72.900000000000006</v>
      </c>
      <c r="E3" s="52">
        <f>C3+D3</f>
        <v>86.9</v>
      </c>
      <c r="H3" s="53">
        <v>153.1</v>
      </c>
      <c r="I3" s="54">
        <v>157.30000000000001</v>
      </c>
      <c r="J3" s="54">
        <v>173.9</v>
      </c>
      <c r="K3" s="51">
        <v>133.30000000000001</v>
      </c>
      <c r="L3" s="51">
        <v>63.4</v>
      </c>
      <c r="M3" s="51">
        <v>122.7</v>
      </c>
      <c r="N3" s="51">
        <v>95.8</v>
      </c>
      <c r="O3" s="51">
        <v>243.9</v>
      </c>
      <c r="P3" s="51"/>
      <c r="Q3" s="51"/>
      <c r="R3" s="51"/>
      <c r="S3" s="51"/>
      <c r="T3" s="55"/>
      <c r="W3" s="80">
        <v>0</v>
      </c>
      <c r="X3" s="81"/>
    </row>
    <row r="4" spans="1:24" ht="15" x14ac:dyDescent="0.2">
      <c r="A4" s="49" t="s">
        <v>65</v>
      </c>
      <c r="B4" s="14" t="s">
        <v>66</v>
      </c>
      <c r="C4" s="51">
        <v>14</v>
      </c>
      <c r="D4" s="8">
        <v>70.599999999999994</v>
      </c>
      <c r="E4" s="56">
        <f>C4+D4</f>
        <v>84.6</v>
      </c>
      <c r="H4" s="29">
        <v>149.6</v>
      </c>
      <c r="I4" s="57">
        <v>145.5</v>
      </c>
      <c r="J4" s="57">
        <v>160.5</v>
      </c>
      <c r="K4" s="8">
        <v>123.3</v>
      </c>
      <c r="L4" s="8">
        <v>218.5</v>
      </c>
      <c r="M4" s="8">
        <v>109.2</v>
      </c>
      <c r="N4" s="8">
        <v>81.7</v>
      </c>
      <c r="O4" s="8"/>
      <c r="P4" s="8"/>
      <c r="Q4" s="8"/>
      <c r="R4" s="8"/>
      <c r="S4" s="8"/>
      <c r="T4" s="18"/>
      <c r="W4" s="82"/>
      <c r="X4" s="83"/>
    </row>
    <row r="5" spans="1:24" ht="15.75" thickBot="1" x14ac:dyDescent="0.25">
      <c r="A5" s="14" t="s">
        <v>66</v>
      </c>
      <c r="B5" s="6" t="s">
        <v>67</v>
      </c>
      <c r="C5" s="51">
        <v>14</v>
      </c>
      <c r="D5" s="8">
        <v>70.400000000000006</v>
      </c>
      <c r="E5" s="56">
        <f t="shared" ref="E5:E20" si="0">C5+D5</f>
        <v>84.4</v>
      </c>
      <c r="H5" s="29">
        <v>139.4</v>
      </c>
      <c r="I5" s="57">
        <v>137.69999999999999</v>
      </c>
      <c r="J5" s="57">
        <v>147.80000000000001</v>
      </c>
      <c r="K5" s="8">
        <v>112.3</v>
      </c>
      <c r="L5" s="8">
        <v>100.5</v>
      </c>
      <c r="M5" s="8">
        <v>100.9</v>
      </c>
      <c r="N5" s="8">
        <v>69.900000000000006</v>
      </c>
      <c r="O5" s="8"/>
      <c r="P5" s="8"/>
      <c r="Q5" s="8"/>
      <c r="R5" s="8"/>
      <c r="S5" s="8"/>
      <c r="T5" s="18"/>
      <c r="W5" s="84"/>
      <c r="X5" s="85"/>
    </row>
    <row r="6" spans="1:24" ht="15.75" thickBot="1" x14ac:dyDescent="0.25">
      <c r="A6" s="6" t="s">
        <v>64</v>
      </c>
      <c r="B6" s="8" t="s">
        <v>68</v>
      </c>
      <c r="C6" s="51">
        <v>14</v>
      </c>
      <c r="D6" s="8">
        <v>284.39999999999998</v>
      </c>
      <c r="E6" s="56">
        <f t="shared" si="0"/>
        <v>298.39999999999998</v>
      </c>
      <c r="H6" s="29">
        <v>131.80000000000001</v>
      </c>
      <c r="I6" s="57">
        <v>124.8</v>
      </c>
      <c r="J6" s="57">
        <v>134.9</v>
      </c>
      <c r="K6" s="8">
        <v>102</v>
      </c>
      <c r="L6" s="8">
        <v>93.9</v>
      </c>
      <c r="M6" s="8">
        <v>89.2</v>
      </c>
      <c r="N6" s="8">
        <v>21.7</v>
      </c>
      <c r="O6" s="8"/>
      <c r="P6" s="8"/>
      <c r="Q6" s="8"/>
      <c r="R6" s="8"/>
      <c r="S6" s="8"/>
      <c r="T6" s="18"/>
    </row>
    <row r="7" spans="1:24" ht="15.75" thickBot="1" x14ac:dyDescent="0.25">
      <c r="A7" s="8" t="s">
        <v>68</v>
      </c>
      <c r="B7" s="8" t="s">
        <v>69</v>
      </c>
      <c r="C7" s="51">
        <v>14</v>
      </c>
      <c r="D7" s="8">
        <v>66.8</v>
      </c>
      <c r="E7" s="56">
        <f t="shared" si="0"/>
        <v>80.8</v>
      </c>
      <c r="H7" s="29">
        <v>123.8</v>
      </c>
      <c r="I7" s="57">
        <v>117.1</v>
      </c>
      <c r="J7" s="57">
        <v>122.2</v>
      </c>
      <c r="K7" s="8">
        <v>91</v>
      </c>
      <c r="L7" s="8">
        <v>80.5</v>
      </c>
      <c r="M7" s="8">
        <v>83.3</v>
      </c>
      <c r="N7" s="8">
        <v>11.1</v>
      </c>
      <c r="O7" s="8"/>
      <c r="P7" s="8"/>
      <c r="Q7" s="8"/>
      <c r="R7" s="8"/>
      <c r="S7" s="8"/>
      <c r="T7" s="18"/>
      <c r="W7" s="78" t="s">
        <v>38</v>
      </c>
      <c r="X7" s="79"/>
    </row>
    <row r="8" spans="1:24" ht="15" x14ac:dyDescent="0.2">
      <c r="A8" s="14" t="s">
        <v>69</v>
      </c>
      <c r="B8" s="6" t="s">
        <v>70</v>
      </c>
      <c r="C8" s="51">
        <v>7</v>
      </c>
      <c r="D8" s="8">
        <v>45.5</v>
      </c>
      <c r="E8" s="56">
        <f t="shared" si="0"/>
        <v>52.5</v>
      </c>
      <c r="H8" s="29">
        <v>114</v>
      </c>
      <c r="I8" s="57">
        <v>105.1</v>
      </c>
      <c r="J8" s="57">
        <v>108.8</v>
      </c>
      <c r="K8" s="8">
        <v>81.5</v>
      </c>
      <c r="L8" s="8">
        <v>74</v>
      </c>
      <c r="M8" s="8">
        <v>68.7</v>
      </c>
      <c r="N8" s="8">
        <v>12.6</v>
      </c>
      <c r="O8" s="8"/>
      <c r="P8" s="8"/>
      <c r="Q8" s="8"/>
      <c r="R8" s="8"/>
      <c r="S8" s="8"/>
      <c r="T8" s="18"/>
      <c r="W8" s="80">
        <v>8</v>
      </c>
      <c r="X8" s="81"/>
    </row>
    <row r="9" spans="1:24" ht="15" x14ac:dyDescent="0.2">
      <c r="A9" s="6" t="s">
        <v>68</v>
      </c>
      <c r="B9" s="6" t="s">
        <v>71</v>
      </c>
      <c r="C9" s="51">
        <v>14</v>
      </c>
      <c r="D9" s="8">
        <v>63.1</v>
      </c>
      <c r="E9" s="56">
        <f t="shared" si="0"/>
        <v>77.099999999999994</v>
      </c>
      <c r="H9" s="29">
        <v>100.5</v>
      </c>
      <c r="I9" s="57">
        <v>97.1</v>
      </c>
      <c r="J9" s="57">
        <v>96.7</v>
      </c>
      <c r="K9" s="8">
        <v>70.8</v>
      </c>
      <c r="L9" s="8">
        <v>60.2</v>
      </c>
      <c r="M9" s="8">
        <v>27.5</v>
      </c>
      <c r="N9" s="8" t="s">
        <v>73</v>
      </c>
      <c r="O9" s="8"/>
      <c r="P9" s="8"/>
      <c r="Q9" s="8"/>
      <c r="R9" s="8"/>
      <c r="S9" s="8"/>
      <c r="T9" s="18"/>
      <c r="W9" s="82"/>
      <c r="X9" s="83"/>
    </row>
    <row r="10" spans="1:24" ht="15.75" thickBot="1" x14ac:dyDescent="0.25">
      <c r="A10" s="6" t="s">
        <v>71</v>
      </c>
      <c r="B10" s="6" t="s">
        <v>72</v>
      </c>
      <c r="C10" s="51">
        <v>14</v>
      </c>
      <c r="D10" s="8">
        <v>76.7</v>
      </c>
      <c r="E10" s="56">
        <f t="shared" si="0"/>
        <v>90.7</v>
      </c>
      <c r="H10" s="29">
        <v>91.1</v>
      </c>
      <c r="I10" s="57">
        <v>84.9</v>
      </c>
      <c r="J10" s="57">
        <v>83.7</v>
      </c>
      <c r="K10" s="8">
        <v>61</v>
      </c>
      <c r="L10" s="8">
        <v>65.2</v>
      </c>
      <c r="M10" s="8">
        <v>18.8</v>
      </c>
      <c r="N10" s="8">
        <v>69.099999999999994</v>
      </c>
      <c r="O10" s="8"/>
      <c r="P10" s="8"/>
      <c r="Q10" s="8"/>
      <c r="R10" s="8"/>
      <c r="S10" s="8"/>
      <c r="T10" s="18"/>
      <c r="W10" s="84"/>
      <c r="X10" s="85"/>
    </row>
    <row r="11" spans="1:24" ht="15.75" thickBot="1" x14ac:dyDescent="0.25">
      <c r="A11" s="14"/>
      <c r="B11" s="6"/>
      <c r="C11" s="51"/>
      <c r="D11" s="8"/>
      <c r="E11" s="56">
        <f t="shared" si="0"/>
        <v>0</v>
      </c>
      <c r="H11" s="29">
        <v>81.400000000000006</v>
      </c>
      <c r="I11" s="57">
        <v>75.900000000000006</v>
      </c>
      <c r="J11" s="57">
        <v>71.8</v>
      </c>
      <c r="K11" s="8">
        <v>87.1</v>
      </c>
      <c r="L11" s="8">
        <v>79.3</v>
      </c>
      <c r="M11" s="8">
        <v>11.8</v>
      </c>
      <c r="N11" s="8">
        <v>68.400000000000006</v>
      </c>
      <c r="O11" s="8"/>
      <c r="P11" s="8"/>
      <c r="Q11" s="8"/>
      <c r="R11" s="8"/>
      <c r="S11" s="8"/>
      <c r="T11" s="18"/>
    </row>
    <row r="12" spans="1:24" ht="18.75" thickBot="1" x14ac:dyDescent="0.25">
      <c r="A12" s="14"/>
      <c r="B12" s="6"/>
      <c r="C12" s="51"/>
      <c r="D12" s="8"/>
      <c r="E12" s="56">
        <f t="shared" si="0"/>
        <v>0</v>
      </c>
      <c r="H12" s="29">
        <v>70.2</v>
      </c>
      <c r="I12" s="57">
        <v>65.900000000000006</v>
      </c>
      <c r="J12" s="8">
        <v>15.1</v>
      </c>
      <c r="K12" s="8">
        <v>72.400000000000006</v>
      </c>
      <c r="L12" s="8">
        <v>85.1</v>
      </c>
      <c r="M12" s="8">
        <v>7.2</v>
      </c>
      <c r="N12" s="8">
        <v>78.8</v>
      </c>
      <c r="O12" s="8"/>
      <c r="P12" s="8"/>
      <c r="Q12" s="8"/>
      <c r="R12" s="8"/>
      <c r="S12" s="8"/>
      <c r="T12" s="18"/>
      <c r="W12" s="76" t="s">
        <v>39</v>
      </c>
      <c r="X12" s="77"/>
    </row>
    <row r="13" spans="1:24" ht="15" x14ac:dyDescent="0.2">
      <c r="A13" s="14"/>
      <c r="B13" s="6"/>
      <c r="C13" s="51"/>
      <c r="D13" s="8"/>
      <c r="E13" s="56">
        <f t="shared" si="0"/>
        <v>0</v>
      </c>
      <c r="H13" s="29">
        <v>21.1</v>
      </c>
      <c r="I13" s="57">
        <v>25.8</v>
      </c>
      <c r="J13" s="8">
        <v>11.6</v>
      </c>
      <c r="K13" s="8">
        <v>58.1</v>
      </c>
      <c r="L13" s="8">
        <v>104.9</v>
      </c>
      <c r="M13" s="8">
        <v>15.6</v>
      </c>
      <c r="N13" s="8"/>
      <c r="O13" s="8"/>
      <c r="P13" s="8"/>
      <c r="Q13" s="8"/>
      <c r="R13" s="8"/>
      <c r="S13" s="8"/>
      <c r="T13" s="18"/>
      <c r="W13" s="42" t="s">
        <v>40</v>
      </c>
      <c r="X13" s="44">
        <v>122</v>
      </c>
    </row>
    <row r="14" spans="1:24" ht="15" x14ac:dyDescent="0.2">
      <c r="A14" s="14"/>
      <c r="B14" s="6"/>
      <c r="C14" s="51"/>
      <c r="D14" s="8"/>
      <c r="E14" s="56">
        <f t="shared" si="0"/>
        <v>0</v>
      </c>
      <c r="H14" s="29">
        <v>72.599999999999994</v>
      </c>
      <c r="I14" s="57">
        <v>17.8</v>
      </c>
      <c r="J14" s="8">
        <v>22.6</v>
      </c>
      <c r="K14" s="8">
        <v>45.4</v>
      </c>
      <c r="L14" s="8">
        <v>115.9</v>
      </c>
      <c r="M14" s="8">
        <v>55.9</v>
      </c>
      <c r="N14" s="8"/>
      <c r="O14" s="8"/>
      <c r="P14" s="8"/>
      <c r="Q14" s="8"/>
      <c r="R14" s="8"/>
      <c r="S14" s="8"/>
      <c r="T14" s="18"/>
      <c r="W14" s="43" t="s">
        <v>41</v>
      </c>
      <c r="X14" s="40">
        <v>0</v>
      </c>
    </row>
    <row r="15" spans="1:24" ht="15" x14ac:dyDescent="0.2">
      <c r="A15" s="14"/>
      <c r="B15" s="8"/>
      <c r="C15" s="51"/>
      <c r="D15" s="8"/>
      <c r="E15" s="56">
        <f t="shared" si="0"/>
        <v>0</v>
      </c>
      <c r="H15" s="29">
        <v>85.7</v>
      </c>
      <c r="I15" s="57">
        <v>6.3</v>
      </c>
      <c r="J15" s="8">
        <v>69.7</v>
      </c>
      <c r="K15" s="8"/>
      <c r="L15" s="8">
        <v>98.6</v>
      </c>
      <c r="M15" s="8">
        <v>68.599999999999994</v>
      </c>
      <c r="N15" s="8"/>
      <c r="O15" s="8"/>
      <c r="P15" s="8"/>
      <c r="Q15" s="8"/>
      <c r="R15" s="8"/>
      <c r="S15" s="8"/>
      <c r="T15" s="18"/>
      <c r="W15" s="43" t="s">
        <v>42</v>
      </c>
      <c r="X15" s="40">
        <v>2</v>
      </c>
    </row>
    <row r="16" spans="1:24" ht="15.75" thickBot="1" x14ac:dyDescent="0.25">
      <c r="A16" s="29"/>
      <c r="B16" s="8"/>
      <c r="C16" s="51"/>
      <c r="D16" s="8"/>
      <c r="E16" s="56">
        <f t="shared" si="0"/>
        <v>0</v>
      </c>
      <c r="H16" s="29">
        <v>93</v>
      </c>
      <c r="I16" s="57">
        <v>17.5</v>
      </c>
      <c r="J16" s="8">
        <v>81.5</v>
      </c>
      <c r="K16" s="8"/>
      <c r="L16" s="8"/>
      <c r="M16" s="8">
        <v>75.7</v>
      </c>
      <c r="N16" s="8"/>
      <c r="O16" s="8"/>
      <c r="P16" s="8"/>
      <c r="Q16" s="8"/>
      <c r="R16" s="8"/>
      <c r="S16" s="8"/>
      <c r="T16" s="18"/>
      <c r="W16" s="58" t="s">
        <v>43</v>
      </c>
      <c r="X16" s="41">
        <v>0</v>
      </c>
    </row>
    <row r="17" spans="1:20" ht="15" x14ac:dyDescent="0.2">
      <c r="A17" s="29"/>
      <c r="B17" s="8"/>
      <c r="C17" s="8"/>
      <c r="D17" s="8"/>
      <c r="E17" s="56">
        <f t="shared" si="0"/>
        <v>0</v>
      </c>
      <c r="H17" s="29">
        <v>108.8</v>
      </c>
      <c r="I17" s="57">
        <v>49.8</v>
      </c>
      <c r="J17" s="8">
        <v>92.3</v>
      </c>
      <c r="K17" s="8"/>
      <c r="L17" s="8"/>
      <c r="M17" s="8">
        <v>89.5</v>
      </c>
      <c r="N17" s="8"/>
      <c r="O17" s="8"/>
      <c r="P17" s="8"/>
      <c r="Q17" s="8"/>
      <c r="R17" s="8"/>
      <c r="S17" s="8"/>
      <c r="T17" s="18"/>
    </row>
    <row r="18" spans="1:20" ht="15" x14ac:dyDescent="0.2">
      <c r="A18" s="29"/>
      <c r="B18" s="8"/>
      <c r="C18" s="8"/>
      <c r="D18" s="8"/>
      <c r="E18" s="56">
        <f t="shared" si="0"/>
        <v>0</v>
      </c>
      <c r="H18" s="29">
        <v>118.5</v>
      </c>
      <c r="I18" s="57">
        <v>62.8</v>
      </c>
      <c r="J18" s="8">
        <v>100.9</v>
      </c>
      <c r="K18" s="8"/>
      <c r="L18" s="8"/>
      <c r="M18" s="8">
        <v>96.3</v>
      </c>
      <c r="N18" s="8"/>
      <c r="O18" s="8"/>
      <c r="P18" s="8"/>
      <c r="Q18" s="8"/>
      <c r="R18" s="8"/>
      <c r="S18" s="8"/>
      <c r="T18" s="18"/>
    </row>
    <row r="19" spans="1:20" ht="15" x14ac:dyDescent="0.2">
      <c r="A19" s="29"/>
      <c r="B19" s="8"/>
      <c r="C19" s="8"/>
      <c r="D19" s="8"/>
      <c r="E19" s="56">
        <f t="shared" si="0"/>
        <v>0</v>
      </c>
      <c r="H19" s="29">
        <v>127.1</v>
      </c>
      <c r="I19" s="57">
        <v>76.599999999999994</v>
      </c>
      <c r="J19" s="8">
        <v>114.1</v>
      </c>
      <c r="K19" s="8"/>
      <c r="L19" s="8"/>
      <c r="M19" s="8">
        <v>109.8</v>
      </c>
      <c r="N19" s="8"/>
      <c r="O19" s="8"/>
      <c r="P19" s="8"/>
      <c r="Q19" s="8"/>
      <c r="R19" s="8"/>
      <c r="S19" s="8"/>
      <c r="T19" s="18"/>
    </row>
    <row r="20" spans="1:20" ht="15.75" thickBot="1" x14ac:dyDescent="0.25">
      <c r="A20" s="30"/>
      <c r="B20" s="31"/>
      <c r="C20" s="31"/>
      <c r="D20" s="31"/>
      <c r="E20" s="59">
        <f t="shared" si="0"/>
        <v>0</v>
      </c>
      <c r="H20" s="29">
        <v>136</v>
      </c>
      <c r="I20" s="57">
        <v>89.6</v>
      </c>
      <c r="J20" s="8">
        <v>129.30000000000001</v>
      </c>
      <c r="K20" s="8"/>
      <c r="L20" s="8"/>
      <c r="M20" s="8">
        <v>117.5</v>
      </c>
      <c r="N20" s="8"/>
      <c r="O20" s="8"/>
      <c r="P20" s="8"/>
      <c r="Q20" s="8"/>
      <c r="R20" s="8"/>
      <c r="S20" s="8"/>
      <c r="T20" s="18"/>
    </row>
    <row r="21" spans="1:20" ht="15.75" thickBot="1" x14ac:dyDescent="0.25">
      <c r="A21" s="2"/>
      <c r="B21" s="2"/>
      <c r="C21" s="2"/>
      <c r="D21" s="2"/>
      <c r="E21" s="2"/>
      <c r="H21" s="29">
        <v>145.4</v>
      </c>
      <c r="I21" s="57">
        <v>96.5</v>
      </c>
      <c r="J21" s="8">
        <v>134.1</v>
      </c>
      <c r="K21" s="8"/>
      <c r="L21" s="8"/>
      <c r="M21" s="8"/>
      <c r="N21" s="8"/>
      <c r="O21" s="8"/>
      <c r="P21" s="8"/>
      <c r="Q21" s="8"/>
      <c r="R21" s="8"/>
      <c r="S21" s="8"/>
      <c r="T21" s="18"/>
    </row>
    <row r="22" spans="1:20" ht="15.75" thickBot="1" x14ac:dyDescent="0.25">
      <c r="A22" s="3">
        <f>SUM(A3:A20)</f>
        <v>0</v>
      </c>
      <c r="B22" s="3">
        <f>SUM(B3:B20)</f>
        <v>0</v>
      </c>
      <c r="C22" s="3">
        <f>SUM(C3:C20)</f>
        <v>105</v>
      </c>
      <c r="D22" s="3">
        <f>SUM(D3:D20)</f>
        <v>750.4</v>
      </c>
      <c r="E22" s="3">
        <f>SUM(E3:E20)</f>
        <v>855.4</v>
      </c>
      <c r="H22" s="29">
        <v>158</v>
      </c>
      <c r="I22" s="57">
        <v>109.9</v>
      </c>
      <c r="J22" s="8">
        <v>153.69999999999999</v>
      </c>
      <c r="K22" s="8"/>
      <c r="L22" s="8"/>
      <c r="M22" s="8"/>
      <c r="N22" s="8"/>
      <c r="O22" s="8"/>
      <c r="P22" s="8"/>
      <c r="Q22" s="8"/>
      <c r="R22" s="8"/>
      <c r="S22" s="8"/>
      <c r="T22" s="18"/>
    </row>
    <row r="23" spans="1:20" ht="15.75" thickBot="1" x14ac:dyDescent="0.25">
      <c r="A23" s="2"/>
      <c r="B23" s="2"/>
      <c r="C23" s="2"/>
      <c r="D23" s="78" t="s">
        <v>44</v>
      </c>
      <c r="E23" s="79"/>
      <c r="H23" s="29">
        <v>165.6</v>
      </c>
      <c r="I23" s="57">
        <v>117</v>
      </c>
      <c r="J23" s="8">
        <v>169.3</v>
      </c>
      <c r="K23" s="8"/>
      <c r="L23" s="8"/>
      <c r="M23" s="8"/>
      <c r="N23" s="8"/>
      <c r="O23" s="8"/>
      <c r="P23" s="8"/>
      <c r="Q23" s="8"/>
      <c r="R23" s="8"/>
      <c r="S23" s="8"/>
      <c r="T23" s="18"/>
    </row>
    <row r="24" spans="1:20" ht="15" x14ac:dyDescent="0.2">
      <c r="C24" s="2"/>
      <c r="D24" s="80">
        <f>E22</f>
        <v>855.4</v>
      </c>
      <c r="E24" s="81"/>
      <c r="H24" s="29">
        <v>173.6</v>
      </c>
      <c r="I24" s="57">
        <v>125.5</v>
      </c>
      <c r="J24" s="8">
        <v>173.9</v>
      </c>
      <c r="K24" s="8"/>
      <c r="L24" s="8"/>
      <c r="M24" s="8"/>
      <c r="N24" s="8"/>
      <c r="O24" s="8"/>
      <c r="P24" s="8"/>
      <c r="Q24" s="8"/>
      <c r="R24" s="8"/>
      <c r="S24" s="8"/>
      <c r="T24" s="18"/>
    </row>
    <row r="25" spans="1:20" ht="15" x14ac:dyDescent="0.2">
      <c r="C25" s="2"/>
      <c r="D25" s="82"/>
      <c r="E25" s="83"/>
      <c r="H25" s="29"/>
      <c r="I25" s="57">
        <v>132</v>
      </c>
      <c r="J25" s="8">
        <v>189.1</v>
      </c>
      <c r="K25" s="8"/>
      <c r="L25" s="8"/>
      <c r="M25" s="8"/>
      <c r="N25" s="8"/>
      <c r="O25" s="8"/>
      <c r="P25" s="8"/>
      <c r="Q25" s="8"/>
      <c r="R25" s="8"/>
      <c r="S25" s="8"/>
      <c r="T25" s="18"/>
    </row>
    <row r="26" spans="1:20" ht="15.75" thickBot="1" x14ac:dyDescent="0.25">
      <c r="C26" s="2"/>
      <c r="D26" s="84"/>
      <c r="E26" s="85"/>
      <c r="H26" s="29"/>
      <c r="I26" s="57">
        <v>147</v>
      </c>
      <c r="J26" s="8">
        <v>26.3</v>
      </c>
      <c r="K26" s="8"/>
      <c r="L26" s="8"/>
      <c r="M26" s="8"/>
      <c r="N26" s="8"/>
      <c r="O26" s="8"/>
      <c r="P26" s="8"/>
      <c r="Q26" s="8"/>
      <c r="R26" s="8"/>
      <c r="S26" s="8"/>
      <c r="T26" s="18"/>
    </row>
    <row r="27" spans="1:20" ht="15.75" thickBot="1" x14ac:dyDescent="0.25">
      <c r="H27" s="24">
        <f t="shared" ref="H27:T27" si="1">SUM(H3:H26)</f>
        <v>2560.2999999999997</v>
      </c>
      <c r="I27" s="24">
        <f t="shared" si="1"/>
        <v>2185.3999999999996</v>
      </c>
      <c r="J27" s="24">
        <f t="shared" si="1"/>
        <v>2583.7999999999997</v>
      </c>
      <c r="K27" s="24">
        <f t="shared" si="1"/>
        <v>1038.2</v>
      </c>
      <c r="L27" s="24">
        <f t="shared" si="1"/>
        <v>1240</v>
      </c>
      <c r="M27" s="24">
        <f t="shared" si="1"/>
        <v>1268.2</v>
      </c>
      <c r="N27" s="24">
        <f t="shared" si="1"/>
        <v>509.10000000000008</v>
      </c>
      <c r="O27" s="24">
        <f t="shared" si="1"/>
        <v>243.9</v>
      </c>
      <c r="P27" s="24">
        <f t="shared" si="1"/>
        <v>0</v>
      </c>
      <c r="Q27" s="24">
        <f t="shared" si="1"/>
        <v>0</v>
      </c>
      <c r="R27" s="24">
        <f t="shared" si="1"/>
        <v>0</v>
      </c>
      <c r="S27" s="24">
        <f t="shared" si="1"/>
        <v>0</v>
      </c>
      <c r="T27" s="24">
        <f t="shared" si="1"/>
        <v>0</v>
      </c>
    </row>
    <row r="28" spans="1:20" ht="15.75" thickBot="1" x14ac:dyDescent="0.25"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5.75" thickBot="1" x14ac:dyDescent="0.25">
      <c r="H29" s="80" t="s">
        <v>5</v>
      </c>
      <c r="I29" s="86"/>
      <c r="J29" s="81"/>
      <c r="K29" s="3">
        <f>SUM(H27:T27)</f>
        <v>11628.9</v>
      </c>
      <c r="L29" s="83"/>
      <c r="M29" s="87" t="s">
        <v>34</v>
      </c>
      <c r="N29" s="88"/>
      <c r="O29" s="10" t="s">
        <v>10</v>
      </c>
      <c r="P29" s="87" t="s">
        <v>45</v>
      </c>
      <c r="Q29" s="88"/>
      <c r="T29" s="2"/>
    </row>
    <row r="30" spans="1:20" ht="15" x14ac:dyDescent="0.2">
      <c r="H30" s="71">
        <v>124</v>
      </c>
      <c r="I30" s="72"/>
      <c r="J30" s="73">
        <f>H31*H30</f>
        <v>248</v>
      </c>
      <c r="K30" s="2"/>
      <c r="L30" s="83"/>
      <c r="M30" s="89"/>
      <c r="N30" s="90"/>
      <c r="P30" s="89"/>
      <c r="Q30" s="90"/>
      <c r="T30" s="2"/>
    </row>
    <row r="31" spans="1:20" ht="15.75" thickBot="1" x14ac:dyDescent="0.25">
      <c r="H31" s="74">
        <v>2</v>
      </c>
      <c r="I31" s="75"/>
      <c r="J31" s="70"/>
      <c r="K31" s="2"/>
      <c r="L31" s="83"/>
      <c r="M31" s="67">
        <f>K29+J30+J33</f>
        <v>12744.9</v>
      </c>
      <c r="N31" s="68"/>
      <c r="P31" s="67">
        <v>124</v>
      </c>
      <c r="Q31" s="68"/>
      <c r="T31" s="2"/>
    </row>
    <row r="32" spans="1:20" ht="15.75" thickBot="1" x14ac:dyDescent="0.25">
      <c r="H32" s="2"/>
      <c r="I32" s="2"/>
      <c r="J32" s="2"/>
      <c r="K32" s="2"/>
      <c r="L32" s="83"/>
      <c r="M32" s="69"/>
      <c r="N32" s="70"/>
      <c r="P32" s="69"/>
      <c r="Q32" s="70"/>
      <c r="T32" s="2"/>
    </row>
    <row r="33" spans="1:10" ht="15" x14ac:dyDescent="0.2">
      <c r="H33" s="71">
        <v>124</v>
      </c>
      <c r="I33" s="72"/>
      <c r="J33" s="73">
        <f>H34*H33</f>
        <v>868</v>
      </c>
    </row>
    <row r="34" spans="1:10" ht="15.75" thickBot="1" x14ac:dyDescent="0.25">
      <c r="H34" s="74">
        <v>7</v>
      </c>
      <c r="I34" s="75"/>
      <c r="J34" s="70"/>
    </row>
    <row r="35" spans="1:10" ht="15" thickBot="1" x14ac:dyDescent="0.25"/>
    <row r="36" spans="1:10" ht="15.75" thickBot="1" x14ac:dyDescent="0.25">
      <c r="B36" s="45" t="s">
        <v>63</v>
      </c>
    </row>
    <row r="37" spans="1:10" ht="15.75" x14ac:dyDescent="0.25">
      <c r="A37" s="60" t="s">
        <v>46</v>
      </c>
      <c r="B37" s="61" t="s">
        <v>47</v>
      </c>
      <c r="C37" s="62" t="s">
        <v>48</v>
      </c>
      <c r="D37" s="63" t="s">
        <v>49</v>
      </c>
    </row>
    <row r="38" spans="1:10" x14ac:dyDescent="0.2">
      <c r="A38" s="64" t="s">
        <v>50</v>
      </c>
      <c r="B38" s="8">
        <v>124</v>
      </c>
      <c r="C38" s="38">
        <v>124</v>
      </c>
      <c r="D38" s="18">
        <f t="shared" ref="D38:D50" si="2">C38-B38</f>
        <v>0</v>
      </c>
    </row>
    <row r="39" spans="1:10" x14ac:dyDescent="0.2">
      <c r="A39" s="64" t="s">
        <v>51</v>
      </c>
      <c r="B39" s="8">
        <v>12694</v>
      </c>
      <c r="C39" s="38">
        <v>12744.9</v>
      </c>
      <c r="D39" s="18">
        <f t="shared" si="2"/>
        <v>50.899999999999636</v>
      </c>
    </row>
    <row r="40" spans="1:10" x14ac:dyDescent="0.2">
      <c r="A40" s="64" t="s">
        <v>52</v>
      </c>
      <c r="B40" s="8">
        <v>749</v>
      </c>
      <c r="C40" s="38">
        <v>855.4</v>
      </c>
      <c r="D40" s="18">
        <f t="shared" si="2"/>
        <v>106.39999999999998</v>
      </c>
    </row>
    <row r="41" spans="1:10" x14ac:dyDescent="0.2">
      <c r="A41" s="64" t="s">
        <v>53</v>
      </c>
      <c r="B41" s="8">
        <v>0</v>
      </c>
      <c r="C41" s="38">
        <v>0</v>
      </c>
      <c r="D41" s="18">
        <f t="shared" si="2"/>
        <v>0</v>
      </c>
    </row>
    <row r="42" spans="1:10" x14ac:dyDescent="0.2">
      <c r="A42" s="64" t="s">
        <v>54</v>
      </c>
      <c r="B42" s="8">
        <v>122</v>
      </c>
      <c r="C42" s="38">
        <v>122</v>
      </c>
      <c r="D42" s="18">
        <f t="shared" si="2"/>
        <v>0</v>
      </c>
    </row>
    <row r="43" spans="1:10" x14ac:dyDescent="0.2">
      <c r="A43" s="64" t="s">
        <v>55</v>
      </c>
      <c r="B43" s="8">
        <v>0</v>
      </c>
      <c r="C43" s="38">
        <v>0</v>
      </c>
      <c r="D43" s="18">
        <f t="shared" si="2"/>
        <v>0</v>
      </c>
    </row>
    <row r="44" spans="1:10" x14ac:dyDescent="0.2">
      <c r="A44" s="64" t="s">
        <v>56</v>
      </c>
      <c r="B44" s="8">
        <v>2</v>
      </c>
      <c r="C44" s="38">
        <v>2</v>
      </c>
      <c r="D44" s="18">
        <f t="shared" si="2"/>
        <v>0</v>
      </c>
    </row>
    <row r="45" spans="1:10" x14ac:dyDescent="0.2">
      <c r="A45" s="64" t="s">
        <v>57</v>
      </c>
      <c r="B45" s="8">
        <v>0</v>
      </c>
      <c r="C45" s="38">
        <v>0</v>
      </c>
      <c r="D45" s="18">
        <f t="shared" si="2"/>
        <v>0</v>
      </c>
    </row>
    <row r="46" spans="1:10" x14ac:dyDescent="0.2">
      <c r="A46" s="64" t="s">
        <v>58</v>
      </c>
      <c r="B46" s="8">
        <v>16</v>
      </c>
      <c r="C46" s="38">
        <v>16</v>
      </c>
      <c r="D46" s="18">
        <f t="shared" si="2"/>
        <v>0</v>
      </c>
    </row>
    <row r="47" spans="1:10" x14ac:dyDescent="0.2">
      <c r="A47" s="64" t="s">
        <v>59</v>
      </c>
      <c r="B47" s="8">
        <v>1</v>
      </c>
      <c r="C47" s="38">
        <v>1</v>
      </c>
      <c r="D47" s="18">
        <f t="shared" si="2"/>
        <v>0</v>
      </c>
    </row>
    <row r="48" spans="1:10" x14ac:dyDescent="0.2">
      <c r="A48" s="64" t="s">
        <v>60</v>
      </c>
      <c r="B48" s="8">
        <v>8</v>
      </c>
      <c r="C48" s="38">
        <v>8</v>
      </c>
      <c r="D48" s="18">
        <f t="shared" si="2"/>
        <v>0</v>
      </c>
    </row>
    <row r="49" spans="1:4" x14ac:dyDescent="0.2">
      <c r="A49" s="64" t="s">
        <v>61</v>
      </c>
      <c r="B49" s="8">
        <v>0</v>
      </c>
      <c r="C49" s="38">
        <v>0</v>
      </c>
      <c r="D49" s="18">
        <f t="shared" si="2"/>
        <v>0</v>
      </c>
    </row>
    <row r="50" spans="1:4" ht="15" thickBot="1" x14ac:dyDescent="0.25">
      <c r="A50" s="65" t="s">
        <v>62</v>
      </c>
      <c r="B50" s="31">
        <v>0</v>
      </c>
      <c r="C50" s="66">
        <v>0</v>
      </c>
      <c r="D50" s="18">
        <f t="shared" si="2"/>
        <v>0</v>
      </c>
    </row>
  </sheetData>
  <mergeCells count="21">
    <mergeCell ref="W8:X10"/>
    <mergeCell ref="A1:E1"/>
    <mergeCell ref="H1:T1"/>
    <mergeCell ref="W2:X2"/>
    <mergeCell ref="W3:X5"/>
    <mergeCell ref="W7:X7"/>
    <mergeCell ref="W12:X12"/>
    <mergeCell ref="D23:E23"/>
    <mergeCell ref="D24:E26"/>
    <mergeCell ref="H29:J29"/>
    <mergeCell ref="L29:L32"/>
    <mergeCell ref="M29:N30"/>
    <mergeCell ref="P29:Q30"/>
    <mergeCell ref="H30:I30"/>
    <mergeCell ref="J30:J31"/>
    <mergeCell ref="H31:I31"/>
    <mergeCell ref="M31:N32"/>
    <mergeCell ref="P31:Q32"/>
    <mergeCell ref="H33:I33"/>
    <mergeCell ref="J33:J34"/>
    <mergeCell ref="H34:I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REML-97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Admin-IT</dc:creator>
  <cp:lastModifiedBy>JOHN   JABONERO</cp:lastModifiedBy>
  <dcterms:created xsi:type="dcterms:W3CDTF">2023-06-08T07:33:07Z</dcterms:created>
  <dcterms:modified xsi:type="dcterms:W3CDTF">2026-04-21T05:59:05Z</dcterms:modified>
</cp:coreProperties>
</file>